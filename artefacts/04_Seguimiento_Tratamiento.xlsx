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_Seguimiento" sheetId="2" state="visible" r:id="rId4"/>
    <sheet name="2_KPIs_Dashboard" sheetId="3" state="visible" r:id="rId5"/>
    <sheet name="3_Log_Cambios" sheetId="4" state="visible" r:id="rId6"/>
    <sheet name="FRAMEWOR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<sst xmlns="http://schemas.openxmlformats.org/spreadsheetml/2006/main" count="825" uniqueCount="609">
  <si>
    <t xml:space="preserve">PLANILLA DE SEGUIMIENTO — TRATAMIENTO DE RIESGOS</t>
  </si>
  <si>
    <t xml:space="preserve">  Control de avance · Evidencias · KPIs · Dashboard de estado</t>
  </si>
  <si>
    <t xml:space="preserve">Organización:</t>
  </si>
  <si>
    <t xml:space="preserve">Período:</t>
  </si>
  <si>
    <t xml:space="preserve">Responsable:</t>
  </si>
  <si>
    <t xml:space="preserve">Versión:</t>
  </si>
  <si>
    <t xml:space="preserve">v1.0</t>
  </si>
  <si>
    <t xml:space="preserve">Clasificación:</t>
  </si>
  <si>
    <t xml:space="preserve">CONFIDENCIAL</t>
  </si>
  <si>
    <t xml:space="preserve">📊  SEGUIMIENTO DE TRATAMIENTO DE RIESGOS</t>
  </si>
  <si>
    <t xml:space="preserve">  Plan de acción · Avance · Evidencias · Alertas de vencimiento</t>
  </si>
  <si>
    <t xml:space="preserve">ID Riesgo</t>
  </si>
  <si>
    <t xml:space="preserve">Descripción del Riesgo</t>
  </si>
  <si>
    <t xml:space="preserve">Nivel Riesgo</t>
  </si>
  <si>
    <t xml:space="preserve">Opción de Tratamiento</t>
  </si>
  <si>
    <t xml:space="preserve">Acción de Tratamiento</t>
  </si>
  <si>
    <t xml:space="preserve">Control ISO 27002</t>
  </si>
  <si>
    <t xml:space="preserve">Responsable Principal</t>
  </si>
  <si>
    <t xml:space="preserve">Área</t>
  </si>
  <si>
    <t xml:space="preserve">Prioridad</t>
  </si>
  <si>
    <t xml:space="preserve">Fecha Inicio Plan</t>
  </si>
  <si>
    <t xml:space="preserve">Fecha Límite</t>
  </si>
  <si>
    <t xml:space="preserve">% Avance</t>
  </si>
  <si>
    <t xml:space="preserve">Estado</t>
  </si>
  <si>
    <t xml:space="preserve">Evidencia Disponible</t>
  </si>
  <si>
    <t xml:space="preserve">Ubicación Evidencia</t>
  </si>
  <si>
    <t xml:space="preserve">Fecha Última Revisión</t>
  </si>
  <si>
    <t xml:space="preserve">Próxima Revisión</t>
  </si>
  <si>
    <t xml:space="preserve">Costo Estimado</t>
  </si>
  <si>
    <t xml:space="preserve">Costo Real</t>
  </si>
  <si>
    <t xml:space="preserve">Observaciones</t>
  </si>
  <si>
    <t xml:space="preserve">CVE/CVSS ref.</t>
  </si>
  <si>
    <t xml:space="preserve">CWE asociado</t>
  </si>
  <si>
    <t xml:space="preserve">OWASP Top10
(si aplica)</t>
  </si>
  <si>
    <t xml:space="preserve">CIS Control v8</t>
  </si>
  <si>
    <t xml:space="preserve">OWASP AI LLM
(si IA)</t>
  </si>
  <si>
    <t xml:space="preserve">Evidencia de
Control CIS</t>
  </si>
  <si>
    <t xml:space="preserve">RSK-001</t>
  </si>
  <si>
    <t xml:space="preserve">Servidor sin backup probado expuesto — riesgo ransomware</t>
  </si>
  <si>
    <t xml:space="preserve">ALTO</t>
  </si>
  <si>
    <t xml:space="preserve">MITIGAR</t>
  </si>
  <si>
    <t xml:space="preserve">Implementar solución de backup offsite + prueba de restauración mensual documentada</t>
  </si>
  <si>
    <t xml:space="preserve">8.13 — Copias de seguridad</t>
  </si>
  <si>
    <t xml:space="preserve">Carlos Morales</t>
  </si>
  <si>
    <t xml:space="preserve">Infraestructura</t>
  </si>
  <si>
    <t xml:space="preserve">P1 — Urgente</t>
  </si>
  <si>
    <t xml:space="preserve">2025-01-15</t>
  </si>
  <si>
    <t xml:space="preserve">2025-03-15</t>
  </si>
  <si>
    <t xml:space="preserve">En Progreso</t>
  </si>
  <si>
    <t xml:space="preserve">Sí — Parcial</t>
  </si>
  <si>
    <t xml:space="preserve">SharePoint/Evidencias/RSK-001/</t>
  </si>
  <si>
    <t xml:space="preserve">2025-01-20</t>
  </si>
  <si>
    <t xml:space="preserve">2025-02-15</t>
  </si>
  <si>
    <t xml:space="preserve">$3.500</t>
  </si>
  <si>
    <t xml:space="preserve">$2.200</t>
  </si>
  <si>
    <t xml:space="preserve">Falta prueba de restauración</t>
  </si>
  <si>
    <t xml:space="preserve">Multi-CVE ransomware</t>
  </si>
  <si>
    <t xml:space="preserve">CWE-494</t>
  </si>
  <si>
    <t xml:space="preserve">A06</t>
  </si>
  <si>
    <t xml:space="preserve">CIS 11.2 — Automated Backups</t>
  </si>
  <si>
    <t xml:space="preserve">N/A</t>
  </si>
  <si>
    <t xml:space="preserve">Log backup diario + test restauración mensual</t>
  </si>
  <si>
    <t xml:space="preserve">RSK-002</t>
  </si>
  <si>
    <t xml:space="preserve">BD Clientes sin MFA — acceso no autorizado</t>
  </si>
  <si>
    <t xml:space="preserve">Implementar MFA en todos los accesos a base de datos de clientes + revisión de privilegios</t>
  </si>
  <si>
    <t xml:space="preserve">5.15 — Control de acceso</t>
  </si>
  <si>
    <t xml:space="preserve">Ana González</t>
  </si>
  <si>
    <t xml:space="preserve">TI / IAM</t>
  </si>
  <si>
    <t xml:space="preserve">2025-01-10</t>
  </si>
  <si>
    <t xml:space="preserve">2025-02-28</t>
  </si>
  <si>
    <t xml:space="preserve">SharePoint/Evidencias/RSK-002/</t>
  </si>
  <si>
    <t xml:space="preserve">2025-01-18</t>
  </si>
  <si>
    <t xml:space="preserve">2025-02-01</t>
  </si>
  <si>
    <t xml:space="preserve">$1.200</t>
  </si>
  <si>
    <t xml:space="preserve">$800</t>
  </si>
  <si>
    <t xml:space="preserve">Falta configurar 30% de usuarios</t>
  </si>
  <si>
    <t xml:space="preserve">Sin CVE — IAM</t>
  </si>
  <si>
    <t xml:space="preserve">CWE-287</t>
  </si>
  <si>
    <t xml:space="preserve">A07</t>
  </si>
  <si>
    <t xml:space="preserve">CIS 6.3 — Require MFA</t>
  </si>
  <si>
    <t xml:space="preserve">Reporte MFA adoption por usuario</t>
  </si>
  <si>
    <t xml:space="preserve">RSK-003</t>
  </si>
  <si>
    <t xml:space="preserve">Red OT sin segmentación IT/OT</t>
  </si>
  <si>
    <t xml:space="preserve">Implementar VLAN + firewall entre red IT y OT. Proyecto de 3 meses.</t>
  </si>
  <si>
    <t xml:space="preserve">8.22 — Segmentación de redes</t>
  </si>
  <si>
    <t xml:space="preserve">Roberto Soto</t>
  </si>
  <si>
    <t xml:space="preserve">Redes + OT</t>
  </si>
  <si>
    <t xml:space="preserve">P2 — Alta</t>
  </si>
  <si>
    <t xml:space="preserve">2025-04-30</t>
  </si>
  <si>
    <t xml:space="preserve">No — Pendiente</t>
  </si>
  <si>
    <t xml:space="preserve">SharePoint/Evidencias/RSK-003/</t>
  </si>
  <si>
    <t xml:space="preserve">2025-01-25</t>
  </si>
  <si>
    <t xml:space="preserve">$8.000</t>
  </si>
  <si>
    <t xml:space="preserve">$0</t>
  </si>
  <si>
    <t xml:space="preserve">Proyecto iniciado, diseño en progreso</t>
  </si>
  <si>
    <t xml:space="preserve">Sin CVE — arquitectura</t>
  </si>
  <si>
    <t xml:space="preserve">CWE-284</t>
  </si>
  <si>
    <t xml:space="preserve">CIS 12.2 — Segmentation</t>
  </si>
  <si>
    <t xml:space="preserve">Diagrama red + ACLs firewall</t>
  </si>
  <si>
    <t xml:space="preserve">RSK-004</t>
  </si>
  <si>
    <t xml:space="preserve">Proveedor SaaS sin cláusula DPA</t>
  </si>
  <si>
    <t xml:space="preserve">TRANSFERIR</t>
  </si>
  <si>
    <t xml:space="preserve">Negociar y firmar DPA + SLA de seguridad con proveedor ERP. Auditoría anual.</t>
  </si>
  <si>
    <t xml:space="preserve">5.19 — Seguridad en proveedores</t>
  </si>
  <si>
    <t xml:space="preserve">María Legal</t>
  </si>
  <si>
    <t xml:space="preserve">Legal + CISO</t>
  </si>
  <si>
    <t xml:space="preserve">2025-03-30</t>
  </si>
  <si>
    <t xml:space="preserve">SharePoint/Evidencias/RSK-004/</t>
  </si>
  <si>
    <t xml:space="preserve">2025-01-22</t>
  </si>
  <si>
    <t xml:space="preserve">$500</t>
  </si>
  <si>
    <t xml:space="preserve">$200</t>
  </si>
  <si>
    <t xml:space="preserve">Reunión proveedor agendada Feb</t>
  </si>
  <si>
    <t xml:space="preserve">Sin CVE — contrato</t>
  </si>
  <si>
    <t xml:space="preserve">CIS 15.1 — Provider Program</t>
  </si>
  <si>
    <t xml:space="preserve">Copia DPA firmado + resultado due diligence</t>
  </si>
  <si>
    <t xml:space="preserve">RSK-005</t>
  </si>
  <si>
    <t xml:space="preserve">Cuenta privilegiada sin PAM</t>
  </si>
  <si>
    <t xml:space="preserve">CRÍTICO</t>
  </si>
  <si>
    <t xml:space="preserve">Implementar solución PAM + rotación forzada de credenciales + logs de actividad privilegiada</t>
  </si>
  <si>
    <t xml:space="preserve">5.18 — Derechos de acceso</t>
  </si>
  <si>
    <t xml:space="preserve">Luis Torres</t>
  </si>
  <si>
    <t xml:space="preserve">2025-01-05</t>
  </si>
  <si>
    <t xml:space="preserve">SharePoint/Evidencias/RSK-005/</t>
  </si>
  <si>
    <t xml:space="preserve">2025-01-19</t>
  </si>
  <si>
    <t xml:space="preserve">2025-01-31</t>
  </si>
  <si>
    <t xml:space="preserve">$5.000</t>
  </si>
  <si>
    <t xml:space="preserve">PAM en producción, migración 55%</t>
  </si>
  <si>
    <t xml:space="preserve">CVE-2021-34527 ref.</t>
  </si>
  <si>
    <t xml:space="preserve">CWE-269</t>
  </si>
  <si>
    <t xml:space="preserve">A01</t>
  </si>
  <si>
    <t xml:space="preserve">CIS 5.4 — Restrict Admin</t>
  </si>
  <si>
    <t xml:space="preserve">Reporte sesiones PAM + rotación creds</t>
  </si>
  <si>
    <t xml:space="preserve">RSK-006</t>
  </si>
  <si>
    <t xml:space="preserve">App Web sin DAST — inyección SQL</t>
  </si>
  <si>
    <t xml:space="preserve">Ejecutar DAST + revisión de código + pentest web. Remediar hallazgos críticos.</t>
  </si>
  <si>
    <t xml:space="preserve">8.29 — Pruebas de seguridad</t>
  </si>
  <si>
    <t xml:space="preserve">Dev + Seguridad</t>
  </si>
  <si>
    <t xml:space="preserve">Desarrollo</t>
  </si>
  <si>
    <t xml:space="preserve">2025-03-31</t>
  </si>
  <si>
    <t xml:space="preserve">Pendiente</t>
  </si>
  <si>
    <t xml:space="preserve">SharePoint/Evidencias/RSK-006/</t>
  </si>
  <si>
    <t xml:space="preserve">$4.000</t>
  </si>
  <si>
    <t xml:space="preserve">Pendiente iniciar</t>
  </si>
  <si>
    <t xml:space="preserve">OWASP A03 activo</t>
  </si>
  <si>
    <t xml:space="preserve">CWE-89, CWE-79</t>
  </si>
  <si>
    <t xml:space="preserve">A01, A03</t>
  </si>
  <si>
    <t xml:space="preserve">CIS 16.12 — Code Review</t>
  </si>
  <si>
    <t xml:space="preserve">Reporte DAST + hallazgos cerrados</t>
  </si>
  <si>
    <t xml:space="preserve">RSK-007</t>
  </si>
  <si>
    <t xml:space="preserve">Endpoints sin EDR completo — phishing</t>
  </si>
  <si>
    <t xml:space="preserve">MEDIO</t>
  </si>
  <si>
    <t xml:space="preserve">Completar despliegue EDR al 100% + ejecutar simulacro phishing trimestral</t>
  </si>
  <si>
    <t xml:space="preserve">6.3 — Concienciación</t>
  </si>
  <si>
    <t xml:space="preserve">Pedro Silva</t>
  </si>
  <si>
    <t xml:space="preserve">Seguridad + RRHH</t>
  </si>
  <si>
    <t xml:space="preserve">P3 — Normal</t>
  </si>
  <si>
    <t xml:space="preserve">SharePoint/Evidencias/RSK-007/</t>
  </si>
  <si>
    <t xml:space="preserve">$2.000</t>
  </si>
  <si>
    <t xml:space="preserve">$1.800</t>
  </si>
  <si>
    <t xml:space="preserve">30% endpoints pendientes</t>
  </si>
  <si>
    <t xml:space="preserve">Multi-CVE malware</t>
  </si>
  <si>
    <t xml:space="preserve">CWE-20</t>
  </si>
  <si>
    <t xml:space="preserve">A09</t>
  </si>
  <si>
    <t xml:space="preserve">CIS 10.1 — Anti-Malware</t>
  </si>
  <si>
    <t xml:space="preserve">Dashboard EDR cobertura %</t>
  </si>
  <si>
    <t xml:space="preserve">RSK-008</t>
  </si>
  <si>
    <t xml:space="preserve">Backup sin prueba de recuperación</t>
  </si>
  <si>
    <t xml:space="preserve">Ejecutar y documentar test de recuperación completo (DR Test). Frecuencia trimestral.</t>
  </si>
  <si>
    <t xml:space="preserve">SharePoint/Evidencias/RSK-008/</t>
  </si>
  <si>
    <t xml:space="preserve">Agendado para Feb 2025</t>
  </si>
  <si>
    <t xml:space="preserve">Sin CVE — proceso</t>
  </si>
  <si>
    <t xml:space="preserve">CIS 11.4 — Test Recovery</t>
  </si>
  <si>
    <t xml:space="preserve">Acta DR Test firmada + RTO/RPO validado</t>
  </si>
  <si>
    <t xml:space="preserve">📈  KPIs Y DASHBOARD — TRATAMIENTO DE RIESGOS</t>
  </si>
  <si>
    <t xml:space="preserve">  Indicadores clave de gestión — actualizar mensualmente</t>
  </si>
  <si>
    <t xml:space="preserve">KPI</t>
  </si>
  <si>
    <t xml:space="preserve">Fórmula / Descripción</t>
  </si>
  <si>
    <t xml:space="preserve">Valor Actual</t>
  </si>
  <si>
    <t xml:space="preserve">Meta</t>
  </si>
  <si>
    <t xml:space="preserve">Tendencia</t>
  </si>
  <si>
    <t xml:space="preserve">% Riesgos Críticos en tratamiento</t>
  </si>
  <si>
    <t xml:space="preserve">Riesgos Críticos con plan activo / Total riesgos críticos</t>
  </si>
  <si>
    <t xml:space="preserve">100%</t>
  </si>
  <si>
    <t xml:space="preserve">% Riesgos completados en el período</t>
  </si>
  <si>
    <t xml:space="preserve">Tratamientos completados / Total tratamientos del período</t>
  </si>
  <si>
    <t xml:space="preserve">80%</t>
  </si>
  <si>
    <t xml:space="preserve">% Planes vencidos</t>
  </si>
  <si>
    <t xml:space="preserve">Planes con fecha vencida y no completados</t>
  </si>
  <si>
    <t xml:space="preserve">0%</t>
  </si>
  <si>
    <t xml:space="preserve">Avance promedio de tratamientos</t>
  </si>
  <si>
    <t xml:space="preserve">Promedio del % avance de todos los planes activos</t>
  </si>
  <si>
    <t xml:space="preserve">75%</t>
  </si>
  <si>
    <t xml:space="preserve">Riesgos sin evidencia</t>
  </si>
  <si>
    <t xml:space="preserve">Planes activos sin evidencia documentada</t>
  </si>
  <si>
    <t xml:space="preserve">0</t>
  </si>
  <si>
    <t xml:space="preserve">Tiempo promedio de resolución (días)</t>
  </si>
  <si>
    <t xml:space="preserve">Días promedio entre inicio y cierre de tratamientos</t>
  </si>
  <si>
    <t xml:space="preserve">[Manual — calcular al cierre del período]</t>
  </si>
  <si>
    <t xml:space="preserve">&lt; 90 días</t>
  </si>
  <si>
    <t xml:space="preserve">Riesgos escalados a dirección</t>
  </si>
  <si>
    <t xml:space="preserve">Riesgos Críticos y Altos comunicados formalmente a gerencia</t>
  </si>
  <si>
    <t xml:space="preserve">[Manual — contar actas de comité]</t>
  </si>
  <si>
    <t xml:space="preserve">100% de CRÍTICOS</t>
  </si>
  <si>
    <t xml:space="preserve">Cobertura de controles ISO 27002</t>
  </si>
  <si>
    <t xml:space="preserve">% de riesgos activos con control ISO 27002 documentado</t>
  </si>
  <si>
    <t xml:space="preserve">📊  RESUMEN EJECUTIVO</t>
  </si>
  <si>
    <t xml:space="preserve">Cantidad</t>
  </si>
  <si>
    <t xml:space="preserve">% del Total</t>
  </si>
  <si>
    <t xml:space="preserve">Completado</t>
  </si>
  <si>
    <t xml:space="preserve">Bloqueado</t>
  </si>
  <si>
    <t xml:space="preserve">Vencido</t>
  </si>
  <si>
    <t xml:space="preserve">  KPIs de Frameworks</t>
  </si>
  <si>
    <t xml:space="preserve">Descripción</t>
  </si>
  <si>
    <t xml:space="preserve">Valor</t>
  </si>
  <si>
    <t xml:space="preserve">Riesgos con CVSS documentado</t>
  </si>
  <si>
    <t xml:space="preserve">% riesgos con CVE o CVSS referenciado en el registro</t>
  </si>
  <si>
    <t xml:space="preserve">Riesgos con CIS Control asignado</t>
  </si>
  <si>
    <t xml:space="preserve">% tratamientos con CIS Control mapeado</t>
  </si>
  <si>
    <t xml:space="preserve">Riesgos OWASP Top10 tratados</t>
  </si>
  <si>
    <t xml:space="preserve">Riesgos con referencia OWASP en tratamiento</t>
  </si>
  <si>
    <t xml:space="preserve">100% de los activos web</t>
  </si>
  <si>
    <t xml:space="preserve">📝  LOG DE CAMBIOS Y DECISIONES</t>
  </si>
  <si>
    <t xml:space="preserve">Fecha</t>
  </si>
  <si>
    <t xml:space="preserve">Tipo de Cambio</t>
  </si>
  <si>
    <t xml:space="preserve">Descripción del Cambio</t>
  </si>
  <si>
    <t xml:space="preserve">Responsable</t>
  </si>
  <si>
    <t xml:space="preserve">Aprobado por</t>
  </si>
  <si>
    <t xml:space="preserve">Inicio tratamiento</t>
  </si>
  <si>
    <t xml:space="preserve">Se inicia implementación de PAM. Aprobado en comité de seguridad 05/01.</t>
  </si>
  <si>
    <t xml:space="preserve">CISO</t>
  </si>
  <si>
    <t xml:space="preserve">Se aprueba proyecto MFA. Asignado a equipo IAM.</t>
  </si>
  <si>
    <t xml:space="preserve">Se aprueba proyecto backup offsite. Contrato firmado con proveedor.</t>
  </si>
  <si>
    <t xml:space="preserve">Actualización avance</t>
  </si>
  <si>
    <t xml:space="preserve">PAM en producción para cuentas de infraestructura. 55% migrado.</t>
  </si>
  <si>
    <t xml:space="preserve">EDR desplegado en 70% de endpoints. Completar para 31 Ene.</t>
  </si>
  <si>
    <t xml:space="preserve">Cambio opción</t>
  </si>
  <si>
    <t xml:space="preserve">Se cambia opción de MITIGAR a TRANSFERIR. Proveedor no permite auditoría directa.</t>
  </si>
  <si>
    <t xml:space="preserve">Legal</t>
  </si>
  <si>
    <t xml:space="preserve">CISO + Legal</t>
  </si>
  <si>
    <t xml:space="preserve">📚  REFERENCIA DE FRAMEWORKS — CVSS · CWE · OWASP · CIS Controls v8</t>
  </si>
  <si>
    <t xml:space="preserve">  Marco de referencia técnico para clasificar y contextualizar riesgos ISO 27005</t>
  </si>
  <si>
    <t xml:space="preserve">  1. CVSS v3.1 — Common Vulnerability Scoring System</t>
  </si>
  <si>
    <t xml:space="preserve">CVSS v3.1 es el estándar de la industria para medir la severidad técnica de vulnerabilidades. Produce un score de 0.0 a 10.0. En ISO 27005: CVSS = Severidad Externa. Debe complementarse con el análisis de impacto interno (BIA) para obtener la Severidad Interna real.</t>
  </si>
  <si>
    <t xml:space="preserve">Score CVSS</t>
  </si>
  <si>
    <t xml:space="preserve">Nivel</t>
  </si>
  <si>
    <t xml:space="preserve">Ejemplo de vulnerabilidad</t>
  </si>
  <si>
    <t xml:space="preserve">Acción recomendada</t>
  </si>
  <si>
    <t xml:space="preserve">SLA típico de remediación</t>
  </si>
  <si>
    <t xml:space="preserve">CRÍTICO (9.0-10.0)</t>
  </si>
  <si>
    <t xml:space="preserve">Explotación remota sin autenticación, impacto total en C+I+D</t>
  </si>
  <si>
    <t xml:space="preserve">Log4Shell (CVE-2021-44228), EternalBlue (MS17-010)</t>
  </si>
  <si>
    <t xml:space="preserve">Remediar en &lt; 24-72 horas. Escalar dirección.</t>
  </si>
  <si>
    <t xml:space="preserve">24-72 horas</t>
  </si>
  <si>
    <t xml:space="preserve">ALTO (7.0-8.9)</t>
  </si>
  <si>
    <t xml:space="preserve">Explotación relativamente sencilla, impacto significativo</t>
  </si>
  <si>
    <t xml:space="preserve">SQLi sin autenticación, RCE autenticado</t>
  </si>
  <si>
    <t xml:space="preserve">Remediar en &lt; 7 días. Plan de mitigación inmediato.</t>
  </si>
  <si>
    <t xml:space="preserve">7 días</t>
  </si>
  <si>
    <t xml:space="preserve">MEDIO (4.0-6.9)</t>
  </si>
  <si>
    <t xml:space="preserve">Explotación requiere condiciones específicas o autenticación</t>
  </si>
  <si>
    <t xml:space="preserve">XSS, CSRF, exposición de información</t>
  </si>
  <si>
    <t xml:space="preserve">Remediar en &lt; 30 días. Controles compensatorios.</t>
  </si>
  <si>
    <t xml:space="preserve">30 días</t>
  </si>
  <si>
    <t xml:space="preserve">BAJO (0.1-3.9)</t>
  </si>
  <si>
    <t xml:space="preserve">Impacto mínimo o explotación muy compleja</t>
  </si>
  <si>
    <t xml:space="preserve">Enumeración de versión, clickjacking sin consecuencias</t>
  </si>
  <si>
    <t xml:space="preserve">Remediar en ciclo normal (90 días).</t>
  </si>
  <si>
    <t xml:space="preserve">90 días</t>
  </si>
  <si>
    <t xml:space="preserve">NINGUNO (0.0)</t>
  </si>
  <si>
    <t xml:space="preserve">Sin impacto de seguridad measurable</t>
  </si>
  <si>
    <t xml:space="preserve">Información pública sin valor</t>
  </si>
  <si>
    <t xml:space="preserve">Documentar. Sin acción urgente.</t>
  </si>
  <si>
    <t xml:space="preserve">Sin SLA</t>
  </si>
  <si>
    <t xml:space="preserve">⚠️  REGLA CLAVE: CVSS alto ≠ riesgo alto para tu organización. Un CVSSv3 9.8 en un sistema sin internet y sin datos sensibles puede ser Severidad Interna BAJA.</t>
  </si>
  <si>
    <t xml:space="preserve">  2. CWE — Common Weakness Enumeration</t>
  </si>
  <si>
    <t xml:space="preserve">CWE clasifica las debilidades de software y hardware que dan origen a vulnerabilidades. En ISO 27005: CWE identifica la VULNERABILIDAD del activo. Permite diseñar controles técnicos precisos (requerimientos de código seguro, revisiones de arquitectura).</t>
  </si>
  <si>
    <t xml:space="preserve">CWE ID</t>
  </si>
  <si>
    <t xml:space="preserve">Nombre</t>
  </si>
  <si>
    <t xml:space="preserve">Tipo de debilidad</t>
  </si>
  <si>
    <t xml:space="preserve">CWE-79</t>
  </si>
  <si>
    <t xml:space="preserve">Cross-Site Scripting (XSS)</t>
  </si>
  <si>
    <t xml:space="preserve">Datos no confiables enviados al navegador sin sanitizar</t>
  </si>
  <si>
    <t xml:space="preserve">Validación input</t>
  </si>
  <si>
    <t xml:space="preserve">CIS 16.12 — Secure Coding</t>
  </si>
  <si>
    <t xml:space="preserve">CWE-89</t>
  </si>
  <si>
    <t xml:space="preserve">SQL Injection</t>
  </si>
  <si>
    <t xml:space="preserve">Datos de entrada modifican la consulta SQL original</t>
  </si>
  <si>
    <t xml:space="preserve">Improper Input Validation</t>
  </si>
  <si>
    <t xml:space="preserve">Falta de validación de datos de entrada del usuario</t>
  </si>
  <si>
    <t xml:space="preserve">CWE-200</t>
  </si>
  <si>
    <t xml:space="preserve">Exposure of Sensitive Information</t>
  </si>
  <si>
    <t xml:space="preserve">Datos sensibles expuestos a actores no autorizados</t>
  </si>
  <si>
    <t xml:space="preserve">Manejo de datos</t>
  </si>
  <si>
    <t xml:space="preserve">5.12 — Clasificación de información</t>
  </si>
  <si>
    <t xml:space="preserve">CIS 3.1 — Data Classification</t>
  </si>
  <si>
    <t xml:space="preserve">Improper Authentication</t>
  </si>
  <si>
    <t xml:space="preserve">Autenticación débil o ausente en recursos críticos</t>
  </si>
  <si>
    <t xml:space="preserve">Autenticación</t>
  </si>
  <si>
    <t xml:space="preserve">5.17 — Información de autenticación</t>
  </si>
  <si>
    <t xml:space="preserve">CIS 6.3 — MFA</t>
  </si>
  <si>
    <t xml:space="preserve">CWE-798</t>
  </si>
  <si>
    <t xml:space="preserve">Use of Hard-coded Credentials</t>
  </si>
  <si>
    <t xml:space="preserve">Credenciales fijas embebidas en el código fuente</t>
  </si>
  <si>
    <t xml:space="preserve">CIS 16.9 — No Hard-code Credentials</t>
  </si>
  <si>
    <t xml:space="preserve">CWE-306</t>
  </si>
  <si>
    <t xml:space="preserve">Missing Auth for Critical Function</t>
  </si>
  <si>
    <t xml:space="preserve">Funciones críticas accesibles sin autenticación</t>
  </si>
  <si>
    <t xml:space="preserve">CIS 6.1 — Access Control</t>
  </si>
  <si>
    <t xml:space="preserve">CWE-502</t>
  </si>
  <si>
    <t xml:space="preserve">Deserialization of Untrusted Data</t>
  </si>
  <si>
    <t xml:space="preserve">Datos serializados de fuentes no confiables ejecutan código</t>
  </si>
  <si>
    <t xml:space="preserve">Integridad datos</t>
  </si>
  <si>
    <t xml:space="preserve">CWE-476</t>
  </si>
  <si>
    <t xml:space="preserve">NULL Pointer Dereference</t>
  </si>
  <si>
    <t xml:space="preserve">Dereference de puntero nulo causa crash o comportamiento inesperado</t>
  </si>
  <si>
    <t xml:space="preserve">Robustez</t>
  </si>
  <si>
    <t xml:space="preserve">CIS 16 — Application Security</t>
  </si>
  <si>
    <t xml:space="preserve">CWE-119</t>
  </si>
  <si>
    <t xml:space="preserve">Buffer Overflow</t>
  </si>
  <si>
    <t xml:space="preserve">Escritura fuera de límites de memoria, puede ejecutar código arbitrario</t>
  </si>
  <si>
    <t xml:space="preserve">Improper Privilege Management</t>
  </si>
  <si>
    <t xml:space="preserve">Privilegios no correctamente asignados o revocados</t>
  </si>
  <si>
    <t xml:space="preserve">Acceso</t>
  </si>
  <si>
    <t xml:space="preserve">CIS 6.8 — Privilege Management</t>
  </si>
  <si>
    <t xml:space="preserve">CWE-400</t>
  </si>
  <si>
    <t xml:space="preserve">Uncontrolled Resource Consumption</t>
  </si>
  <si>
    <t xml:space="preserve">Sin límites al consumo de recursos, permite DoS</t>
  </si>
  <si>
    <t xml:space="preserve">Disponibilidad</t>
  </si>
  <si>
    <t xml:space="preserve">8.21 — Seguridad de servicios de red</t>
  </si>
  <si>
    <t xml:space="preserve">CIS 13 — Network Monitoring</t>
  </si>
  <si>
    <t xml:space="preserve">  3. OWASP Top 10 — 2021 (Aplicaciones Web)</t>
  </si>
  <si>
    <t xml:space="preserve">Ranking</t>
  </si>
  <si>
    <t xml:space="preserve">Categoría OWASP</t>
  </si>
  <si>
    <t xml:space="preserve">CWE relacionados</t>
  </si>
  <si>
    <t xml:space="preserve">Severidad típica CVSS</t>
  </si>
  <si>
    <t xml:space="preserve">Broken Access Control</t>
  </si>
  <si>
    <t xml:space="preserve">Usuarios actúan fuera de permisos. Control de acceso no aplicado correctamente.</t>
  </si>
  <si>
    <t xml:space="preserve">CWE-200, CWE-284</t>
  </si>
  <si>
    <t xml:space="preserve">CIS 6 — Access Control Mgmt</t>
  </si>
  <si>
    <t xml:space="preserve">Alta (7.0-9.8)</t>
  </si>
  <si>
    <t xml:space="preserve">A02</t>
  </si>
  <si>
    <t xml:space="preserve">Cryptographic Failures</t>
  </si>
  <si>
    <t xml:space="preserve">Datos sensibles expuestos por cifrado débil o ausente.</t>
  </si>
  <si>
    <t xml:space="preserve">CWE-327, CWE-328</t>
  </si>
  <si>
    <t xml:space="preserve">8.24 — Uso de criptografía</t>
  </si>
  <si>
    <t xml:space="preserve">CIS 3 — Data Protection</t>
  </si>
  <si>
    <t xml:space="preserve">Media-Alta (5.0-9.0)</t>
  </si>
  <si>
    <t xml:space="preserve">A03</t>
  </si>
  <si>
    <t xml:space="preserve">Injection</t>
  </si>
  <si>
    <t xml:space="preserve">SQL, NoSQL, OS, LDAP injection. Input sin sanitizar modifica comandos.</t>
  </si>
  <si>
    <t xml:space="preserve">CWE-89, CWE-77</t>
  </si>
  <si>
    <t xml:space="preserve">CIS 16 — App Security</t>
  </si>
  <si>
    <t xml:space="preserve">Crítica (9.0-10.0)</t>
  </si>
  <si>
    <t xml:space="preserve">A04</t>
  </si>
  <si>
    <t xml:space="preserve">Insecure Design</t>
  </si>
  <si>
    <t xml:space="preserve">Ausencia de controles de seguridad en la etapa de diseño.</t>
  </si>
  <si>
    <t xml:space="preserve">CWE-209, CWE-256</t>
  </si>
  <si>
    <t xml:space="preserve">8.25 — Desarrollo seguro</t>
  </si>
  <si>
    <t xml:space="preserve">Variable</t>
  </si>
  <si>
    <t xml:space="preserve">A05</t>
  </si>
  <si>
    <t xml:space="preserve">Security Misconfiguration</t>
  </si>
  <si>
    <t xml:space="preserve">Configuraciones por defecto, innecesarias o incompletas.</t>
  </si>
  <si>
    <t xml:space="preserve">CWE-16, CWE-611</t>
  </si>
  <si>
    <t xml:space="preserve">8.9 — Gestión de configuración técnica</t>
  </si>
  <si>
    <t xml:space="preserve">CIS 4 — Secure Config</t>
  </si>
  <si>
    <t xml:space="preserve">Vulnerable Components</t>
  </si>
  <si>
    <t xml:space="preserve">Uso de componentes con vulnerabilidades conocidas sin parche.</t>
  </si>
  <si>
    <t xml:space="preserve">CWE-1035</t>
  </si>
  <si>
    <t xml:space="preserve">8.8 — Gestión de vulnerabilidades</t>
  </si>
  <si>
    <t xml:space="preserve">CIS 2 — Asset Management</t>
  </si>
  <si>
    <t xml:space="preserve">Auth &amp; Identification Failures</t>
  </si>
  <si>
    <t xml:space="preserve">Autenticación débil permite comprometer sesiones o cuentas.</t>
  </si>
  <si>
    <t xml:space="preserve">CWE-287, CWE-384</t>
  </si>
  <si>
    <t xml:space="preserve">A08</t>
  </si>
  <si>
    <t xml:space="preserve">Software &amp; Data Integrity Failures</t>
  </si>
  <si>
    <t xml:space="preserve">Código y datos no verificados contra cambios no autorizados.</t>
  </si>
  <si>
    <t xml:space="preserve">CWE-829, CWE-494</t>
  </si>
  <si>
    <t xml:space="preserve">CIS 2.5 — Software Allowlist</t>
  </si>
  <si>
    <t xml:space="preserve">Logging &amp; Monitoring Failures</t>
  </si>
  <si>
    <t xml:space="preserve">Ausencia de logs o monitoreo permite ataques sin detección.</t>
  </si>
  <si>
    <t xml:space="preserve">CWE-778</t>
  </si>
  <si>
    <t xml:space="preserve">8.15 — Registro de actividad</t>
  </si>
  <si>
    <t xml:space="preserve">CIS 8 — Audit Log Mgmt</t>
  </si>
  <si>
    <t xml:space="preserve">Media (4.0-7.0)</t>
  </si>
  <si>
    <t xml:space="preserve">A10</t>
  </si>
  <si>
    <t xml:space="preserve">Server-Side Request Forgery</t>
  </si>
  <si>
    <t xml:space="preserve">Servidor realiza solicitudes a destinos controlados por el atacante.</t>
  </si>
  <si>
    <t xml:space="preserve">CWE-918</t>
  </si>
  <si>
    <t xml:space="preserve">8.23 — Filtrado web</t>
  </si>
  <si>
    <t xml:space="preserve">  4. OWASP AI / LLM Top 10 — 2025</t>
  </si>
  <si>
    <t xml:space="preserve">ID</t>
  </si>
  <si>
    <t xml:space="preserve">Vulnerabilidad IA/LLM</t>
  </si>
  <si>
    <t xml:space="preserve">Activos IA afectados</t>
  </si>
  <si>
    <t xml:space="preserve">Control recomendado</t>
  </si>
  <si>
    <t xml:space="preserve">ISO 27002 ref.</t>
  </si>
  <si>
    <t xml:space="preserve">LLM01</t>
  </si>
  <si>
    <t xml:space="preserve">Prompt Injection</t>
  </si>
  <si>
    <t xml:space="preserve">Manipulación de instrucciones al LLM para evadir controles o ejecutar acciones no autorizadas</t>
  </si>
  <si>
    <t xml:space="preserve">Chatbots, asistentes, APIs LLM</t>
  </si>
  <si>
    <t xml:space="preserve">Input filtering, output validation, instrucciones de sistema reforzadas</t>
  </si>
  <si>
    <t xml:space="preserve">LLM02</t>
  </si>
  <si>
    <t xml:space="preserve">Insecure Output Handling</t>
  </si>
  <si>
    <t xml:space="preserve">Salidas del LLM no validadas son procesadas directamente (XSS, SQLi, RCE)</t>
  </si>
  <si>
    <t xml:space="preserve">Aplicaciones que usan LLMs para generar código o queries</t>
  </si>
  <si>
    <t xml:space="preserve">Sanitizar outputs antes de procesar; nunca ejecutar código generado sin revisión</t>
  </si>
  <si>
    <t xml:space="preserve">LLM03</t>
  </si>
  <si>
    <t xml:space="preserve">Training Data Poisoning</t>
  </si>
  <si>
    <t xml:space="preserve">Datos de entrenamiento manipulados para sesgar el comportamiento del modelo</t>
  </si>
  <si>
    <t xml:space="preserve">Modelos propios, fine-tuning</t>
  </si>
  <si>
    <t xml:space="preserve">Validar fuentes de datos; controlar pipeline de entrenamiento; versionado de datasets</t>
  </si>
  <si>
    <t xml:space="preserve">8.12 — Gestión de información</t>
  </si>
  <si>
    <t xml:space="preserve">LLM04</t>
  </si>
  <si>
    <t xml:space="preserve">Model Denial of Service</t>
  </si>
  <si>
    <t xml:space="preserve">Solicitudes que consumen recursos excesivos del modelo</t>
  </si>
  <si>
    <t xml:space="preserve">APIs LLM expuestas</t>
  </si>
  <si>
    <t xml:space="preserve">Rate limiting, input length limits, timeout controls</t>
  </si>
  <si>
    <t xml:space="preserve">LLM05</t>
  </si>
  <si>
    <t xml:space="preserve">Supply Chain Vulnerabilities</t>
  </si>
  <si>
    <t xml:space="preserve">Dependencias del modelo comprometidas (librerías, datasets, modelos base)</t>
  </si>
  <si>
    <t xml:space="preserve">Pipelines ML, modelos open source</t>
  </si>
  <si>
    <t xml:space="preserve">SBOM para ML, verificar integridad de modelos base</t>
  </si>
  <si>
    <t xml:space="preserve">LLM06</t>
  </si>
  <si>
    <t xml:space="preserve">Sensitive Information Disclosure</t>
  </si>
  <si>
    <t xml:space="preserve">El LLM revela datos sensibles de entrenamiento o del prompt de sistema</t>
  </si>
  <si>
    <t xml:space="preserve">LLMs con datos propietarios</t>
  </si>
  <si>
    <t xml:space="preserve">Data minimization en entrenamiento; no incluir datos sensibles en prompts</t>
  </si>
  <si>
    <t xml:space="preserve">LLM07</t>
  </si>
  <si>
    <t xml:space="preserve">Insecure Plugin Design</t>
  </si>
  <si>
    <t xml:space="preserve">Plugins del LLM sin controles adecuados ejecutan acciones no autorizadas</t>
  </si>
  <si>
    <t xml:space="preserve">LLMs con herramientas/plugins (function calling)</t>
  </si>
  <si>
    <t xml:space="preserve">Principio de mínimo privilegio en plugins; validar inputs/outputs de cada plugin</t>
  </si>
  <si>
    <t xml:space="preserve">LLM08</t>
  </si>
  <si>
    <t xml:space="preserve">Excessive Agency</t>
  </si>
  <si>
    <t xml:space="preserve">El LLM tiene demasiados permisos o autonomía para tomar acciones en el entorno</t>
  </si>
  <si>
    <t xml:space="preserve">Agentes IA, RPA con LLM</t>
  </si>
  <si>
    <t xml:space="preserve">Supervisión humana en acciones críticas; permisos mínimos; confirmación explícita</t>
  </si>
  <si>
    <t xml:space="preserve">LLM09</t>
  </si>
  <si>
    <t xml:space="preserve">Overreliance</t>
  </si>
  <si>
    <t xml:space="preserve">Dependencia excesiva en outputs del LLM sin verificación humana</t>
  </si>
  <si>
    <t xml:space="preserve">Decisiones automatizadas basadas en LLM</t>
  </si>
  <si>
    <t xml:space="preserve">Mantener supervisión humana; documentar limitaciones; auditorías de decisiones</t>
  </si>
  <si>
    <t xml:space="preserve">LLM10</t>
  </si>
  <si>
    <t xml:space="preserve">Model Theft</t>
  </si>
  <si>
    <t xml:space="preserve">Extracción del modelo mediante queries repetidas o acceso no autorizado</t>
  </si>
  <si>
    <t xml:space="preserve">Modelos propietarios, APIs ML</t>
  </si>
  <si>
    <t xml:space="preserve">Control de acceso a APIs; rate limiting; watermarking de modelos</t>
  </si>
  <si>
    <t xml:space="preserve">8.3 — Gestión de activos de información</t>
  </si>
  <si>
    <t xml:space="preserve">  5. CIS Controls v8 — Los 18 controles esenciales</t>
  </si>
  <si>
    <t xml:space="preserve">CIS #</t>
  </si>
  <si>
    <t xml:space="preserve">Control</t>
  </si>
  <si>
    <t xml:space="preserve">Grupo de implementación</t>
  </si>
  <si>
    <t xml:space="preserve">ISO 27002 principal</t>
  </si>
  <si>
    <t xml:space="preserve">Tipo</t>
  </si>
  <si>
    <t xml:space="preserve">Por qué importa en 27005</t>
  </si>
  <si>
    <t xml:space="preserve">Inventory of Enterprise Assets</t>
  </si>
  <si>
    <t xml:space="preserve">Gestión activa de todos los activos hardware</t>
  </si>
  <si>
    <t xml:space="preserve">IG1 (básico)</t>
  </si>
  <si>
    <t xml:space="preserve">5.9 — Inventario de activos</t>
  </si>
  <si>
    <t xml:space="preserve">Preventivo</t>
  </si>
  <si>
    <t xml:space="preserve">Sin inventario no hay análisis de riesgo</t>
  </si>
  <si>
    <t xml:space="preserve">Inventory of Software Assets</t>
  </si>
  <si>
    <t xml:space="preserve">Gestión de todo el software autorizado</t>
  </si>
  <si>
    <t xml:space="preserve">Shadow IT como vector de riesgo</t>
  </si>
  <si>
    <t xml:space="preserve">Data Protection</t>
  </si>
  <si>
    <t xml:space="preserve">Proteger datos en reposo, tránsito y uso</t>
  </si>
  <si>
    <t xml:space="preserve">CID — base del análisis de impacto</t>
  </si>
  <si>
    <t xml:space="preserve">Secure Configuration</t>
  </si>
  <si>
    <t xml:space="preserve">Configuración segura de activos</t>
  </si>
  <si>
    <t xml:space="preserve">8.9 — Gestión de configuración</t>
  </si>
  <si>
    <t xml:space="preserve">Misconfiguration = vulnerabilidad explotable</t>
  </si>
  <si>
    <t xml:space="preserve">Account Management</t>
  </si>
  <si>
    <t xml:space="preserve">Gestión del ciclo de vida de cuentas</t>
  </si>
  <si>
    <t xml:space="preserve">Cuentas huérfanas = riesgo insider</t>
  </si>
  <si>
    <t xml:space="preserve">Access Control Management</t>
  </si>
  <si>
    <t xml:space="preserve">Gestión de permisos y privilegios</t>
  </si>
  <si>
    <t xml:space="preserve">Exceso de privilegio amplifica impacto</t>
  </si>
  <si>
    <t xml:space="preserve">Continuous Vulnerability Management</t>
  </si>
  <si>
    <t xml:space="preserve">Identificar, priorizar y remediar vulnerabilidades</t>
  </si>
  <si>
    <t xml:space="preserve">Detectivo</t>
  </si>
  <si>
    <t xml:space="preserve">CVSS sin gestión = riesgo sin tratar</t>
  </si>
  <si>
    <t xml:space="preserve">Audit Log Management</t>
  </si>
  <si>
    <t xml:space="preserve">Registro y monitoreo de actividad</t>
  </si>
  <si>
    <t xml:space="preserve">Sin logs no hay evidencia ni trazabilidad</t>
  </si>
  <si>
    <t xml:space="preserve">Email &amp; Web Browser Protections</t>
  </si>
  <si>
    <t xml:space="preserve">Protección de vectores más comunes de ataque</t>
  </si>
  <si>
    <t xml:space="preserve">Phishing = vector #1 de incidentes</t>
  </si>
  <si>
    <t xml:space="preserve">Malware Defenses</t>
  </si>
  <si>
    <t xml:space="preserve">Detección y prevención de malware</t>
  </si>
  <si>
    <t xml:space="preserve">8.7 — Protección contra malware</t>
  </si>
  <si>
    <t xml:space="preserve">Ransomware impacta CID completo</t>
  </si>
  <si>
    <t xml:space="preserve">Data Recovery</t>
  </si>
  <si>
    <t xml:space="preserve">Backup y recuperación de datos críticos</t>
  </si>
  <si>
    <t xml:space="preserve">Correctivo</t>
  </si>
  <si>
    <t xml:space="preserve">Disponibilidad en la triada CID</t>
  </si>
  <si>
    <t xml:space="preserve">Network Infrastructure Management</t>
  </si>
  <si>
    <t xml:space="preserve">Gestión segura de infraestructura de red</t>
  </si>
  <si>
    <t xml:space="preserve">IG2</t>
  </si>
  <si>
    <t xml:space="preserve">8.20 — Seguridad de redes</t>
  </si>
  <si>
    <t xml:space="preserve">Segmentación reduce radio de explosión</t>
  </si>
  <si>
    <t xml:space="preserve">Network Monitoring &amp; Defense</t>
  </si>
  <si>
    <t xml:space="preserve">Monitoreo y defensa de la red</t>
  </si>
  <si>
    <t xml:space="preserve">8.16 — Actividades de monitoreo</t>
  </si>
  <si>
    <t xml:space="preserve">Detectar ataques laterales y exfiltración</t>
  </si>
  <si>
    <t xml:space="preserve">Security Awareness Training</t>
  </si>
  <si>
    <t xml:space="preserve">Formación en seguridad para todo el personal</t>
  </si>
  <si>
    <t xml:space="preserve">Factor humano = eslabón más débil</t>
  </si>
  <si>
    <t xml:space="preserve">Service Provider Management</t>
  </si>
  <si>
    <t xml:space="preserve">Gestión de seguridad de proveedores</t>
  </si>
  <si>
    <t xml:space="preserve">Supply chain risk en ISO 27005</t>
  </si>
  <si>
    <t xml:space="preserve">Application Software Security</t>
  </si>
  <si>
    <t xml:space="preserve">Seguridad en el ciclo de desarrollo de software</t>
  </si>
  <si>
    <t xml:space="preserve">OWASP Top10 y CWE como referencia</t>
  </si>
  <si>
    <t xml:space="preserve">Incident Response Management</t>
  </si>
  <si>
    <t xml:space="preserve">Gestión formal de respuesta a incidentes</t>
  </si>
  <si>
    <t xml:space="preserve">5.26 — Respuesta a incidentes</t>
  </si>
  <si>
    <t xml:space="preserve">Reduce impacto cuando el riesgo se materializa</t>
  </si>
  <si>
    <t xml:space="preserve">Penetration Testing</t>
  </si>
  <si>
    <t xml:space="preserve">Pruebas de intrusión para validar controles</t>
  </si>
  <si>
    <t xml:space="preserve">Valida que los controles realmente funcionan</t>
  </si>
  <si>
    <t xml:space="preserve">  6. OWASP SAMM — Resumen de Funciones y Prácticas</t>
  </si>
  <si>
    <t xml:space="preserve">Función</t>
  </si>
  <si>
    <t xml:space="preserve">Práctica</t>
  </si>
  <si>
    <t xml:space="preserve">Descripción breve</t>
  </si>
  <si>
    <t xml:space="preserve">Niveles 0→3</t>
  </si>
  <si>
    <t xml:space="preserve">ISO 27002</t>
  </si>
  <si>
    <t xml:space="preserve">CIS Control</t>
  </si>
  <si>
    <t xml:space="preserve">Relación con 27005</t>
  </si>
  <si>
    <t xml:space="preserve">Governance</t>
  </si>
  <si>
    <t xml:space="preserve">Strategy &amp; Metrics</t>
  </si>
  <si>
    <t xml:space="preserve">Estrategia de seguridad alineada al negocio con KPIs</t>
  </si>
  <si>
    <t xml:space="preserve">0: Ninguna → 3: Mejora continua</t>
  </si>
  <si>
    <t xml:space="preserve">5.1 — Políticas</t>
  </si>
  <si>
    <t xml:space="preserve">CIS 18 — Pen Test</t>
  </si>
  <si>
    <t xml:space="preserve">Define apetito de riesgo</t>
  </si>
  <si>
    <t xml:space="preserve">Policy &amp; Compliance</t>
  </si>
  <si>
    <t xml:space="preserve">Políticas y cumplimiento normativo formal</t>
  </si>
  <si>
    <t xml:space="preserve">0: Ninguna → 3: Automatizada</t>
  </si>
  <si>
    <t xml:space="preserve">CIS 18</t>
  </si>
  <si>
    <t xml:space="preserve">Marco normativo del SGSI</t>
  </si>
  <si>
    <t xml:space="preserve">Education &amp; Guidance</t>
  </si>
  <si>
    <t xml:space="preserve">Capacitación y cultura de seguridad en desarrollo</t>
  </si>
  <si>
    <t xml:space="preserve">0: Ninguna → 3: Cultura embedded</t>
  </si>
  <si>
    <t xml:space="preserve">CIS 14</t>
  </si>
  <si>
    <t xml:space="preserve">Reduce CWE por error humano</t>
  </si>
  <si>
    <t xml:space="preserve">Design</t>
  </si>
  <si>
    <t xml:space="preserve">Threat Assessment</t>
  </si>
  <si>
    <t xml:space="preserve">Threat modeling en diseño</t>
  </si>
  <si>
    <t xml:space="preserve">0: Ninguna → 3: Automatizado</t>
  </si>
  <si>
    <t xml:space="preserve">CIS 16</t>
  </si>
  <si>
    <t xml:space="preserve">Identifica amenazas antes del código</t>
  </si>
  <si>
    <t xml:space="preserve">Security Requirements</t>
  </si>
  <si>
    <t xml:space="preserve">Requisitos de seguridad en backlog</t>
  </si>
  <si>
    <t xml:space="preserve">5.37 — Requisitos de seguridad</t>
  </si>
  <si>
    <t xml:space="preserve">Define controles desde el diseño</t>
  </si>
  <si>
    <t xml:space="preserve">Security Architecture</t>
  </si>
  <si>
    <t xml:space="preserve">Arquitecturas seguras por defecto</t>
  </si>
  <si>
    <t xml:space="preserve">0: Ninguna → 3: IaC validado</t>
  </si>
  <si>
    <t xml:space="preserve">8.27 — Principios de arquitectura segura</t>
  </si>
  <si>
    <t xml:space="preserve">CIS 12</t>
  </si>
  <si>
    <t xml:space="preserve">Reduce superficie de ataque</t>
  </si>
  <si>
    <t xml:space="preserve">Implementation</t>
  </si>
  <si>
    <t xml:space="preserve">Secure Build</t>
  </si>
  <si>
    <t xml:space="preserve">SAST, secrets scanning en CI/CD</t>
  </si>
  <si>
    <t xml:space="preserve">0: Ninguna → 3: Pipeline completo</t>
  </si>
  <si>
    <t xml:space="preserve">8.28 — Codificación segura</t>
  </si>
  <si>
    <t xml:space="preserve">CIS 16.12</t>
  </si>
  <si>
    <t xml:space="preserve">Detecta CWE en código</t>
  </si>
  <si>
    <t xml:space="preserve">Secure Deployment</t>
  </si>
  <si>
    <t xml:space="preserve">IaC + hardening en despliegue</t>
  </si>
  <si>
    <t xml:space="preserve">0: Ninguna → 3: GitOps</t>
  </si>
  <si>
    <t xml:space="preserve">8.9 — Configuración</t>
  </si>
  <si>
    <t xml:space="preserve">CIS 4</t>
  </si>
  <si>
    <t xml:space="preserve">Elimina misconfiguration</t>
  </si>
  <si>
    <t xml:space="preserve">Defect Management</t>
  </si>
  <si>
    <t xml:space="preserve">Gestión de vulnerabilidades con SLA</t>
  </si>
  <si>
    <t xml:space="preserve">0: Ninguna → 3: Automática</t>
  </si>
  <si>
    <t xml:space="preserve">8.8 — Vulnerabilidades</t>
  </si>
  <si>
    <t xml:space="preserve">CIS 7</t>
  </si>
  <si>
    <t xml:space="preserve">Conecta CVSS con tratamiento</t>
  </si>
  <si>
    <t xml:space="preserve">Verification</t>
  </si>
  <si>
    <t xml:space="preserve">Architecture Assessment</t>
  </si>
  <si>
    <t xml:space="preserve">Revisión de arquitectura vs. diseño</t>
  </si>
  <si>
    <t xml:space="preserve">0: Ninguna → 3: Continua</t>
  </si>
  <si>
    <t xml:space="preserve">8.27 — Arquitectura segura</t>
  </si>
  <si>
    <t xml:space="preserve">Valida controles de diseño</t>
  </si>
  <si>
    <t xml:space="preserve">Requirements-driven Testing</t>
  </si>
  <si>
    <t xml:space="preserve">DAST basado en requisitos de seguridad</t>
  </si>
  <si>
    <t xml:space="preserve">0: Ninguna → 3: Fuzzing</t>
  </si>
  <si>
    <t xml:space="preserve">8.29 — Pruebas</t>
  </si>
  <si>
    <t xml:space="preserve">Verifica OWASP Top10</t>
  </si>
  <si>
    <t xml:space="preserve">Security Testing</t>
  </si>
  <si>
    <t xml:space="preserve">Pentest y evaluaciones de seguridad</t>
  </si>
  <si>
    <t xml:space="preserve">0: Ninguna → 3: Red team</t>
  </si>
  <si>
    <t xml:space="preserve">Valida riesgo residual real</t>
  </si>
  <si>
    <t xml:space="preserve">Operations</t>
  </si>
  <si>
    <t xml:space="preserve">Incident Management</t>
  </si>
  <si>
    <t xml:space="preserve">Detección y respuesta a incidentes en apps</t>
  </si>
  <si>
    <t xml:space="preserve">0: Ninguna → 3: SOAR</t>
  </si>
  <si>
    <t xml:space="preserve">5.26 — Incidentes</t>
  </si>
  <si>
    <t xml:space="preserve">CIS 17</t>
  </si>
  <si>
    <t xml:space="preserve">Reduce impacto cuando ocurre</t>
  </si>
  <si>
    <t xml:space="preserve">Environment Management</t>
  </si>
  <si>
    <t xml:space="preserve">Hardening y compliance de entornos</t>
  </si>
  <si>
    <t xml:space="preserve">0: Ninguna → 3: Automático</t>
  </si>
  <si>
    <t xml:space="preserve">Mantiene riesgo residual bajo</t>
  </si>
  <si>
    <t xml:space="preserve">Operational Management</t>
  </si>
  <si>
    <t xml:space="preserve">Gestión de parches y seguridad en producción</t>
  </si>
  <si>
    <t xml:space="preserve">0: Ninguna → 3: DevSecOps</t>
  </si>
  <si>
    <t xml:space="preserve">Cierra el ciclo de gestión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</si>
</sst>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General"/>
    <numFmt numFmtId="168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FFE5"/>
      <name val="Arial"/>
      <family val="0"/>
      <charset val="1"/>
    </font>
    <font>
      <b val="true"/>
      <sz val="11"/>
      <color rgb="FFFFE040"/>
      <name val="Arial"/>
      <family val="0"/>
      <charset val="1"/>
    </font>
    <font>
      <b val="true"/>
      <sz val="10"/>
      <color rgb="FFFFE04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0FFE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FFE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0FFE5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E040"/>
      <name val="Arial"/>
      <family val="0"/>
      <charset val="1"/>
    </font>
    <font>
      <b val="true"/>
      <sz val="10"/>
      <color rgb="FFCC44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2D7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0720"/>
        <bgColor rgb="FF1A0A2E"/>
      </patternFill>
    </fill>
    <fill>
      <patternFill patternType="solid">
        <fgColor rgb="FF1A0A2E"/>
        <bgColor rgb="FF0D0720"/>
      </patternFill>
    </fill>
    <fill>
      <patternFill patternType="solid">
        <fgColor rgb="FFF0EAF8"/>
        <bgColor rgb="FFFFFFFF"/>
      </patternFill>
    </fill>
    <fill>
      <patternFill patternType="solid">
        <fgColor rgb="FF004D5A"/>
        <bgColor rgb="FF003A1A"/>
      </patternFill>
    </fill>
    <fill>
      <patternFill patternType="solid">
        <fgColor rgb="FFFF0000"/>
        <bgColor rgb="FFFF2D78"/>
      </patternFill>
    </fill>
    <fill>
      <patternFill patternType="solid">
        <fgColor rgb="FF0066CC"/>
        <bgColor rgb="FF008080"/>
      </patternFill>
    </fill>
    <fill>
      <patternFill patternType="solid">
        <fgColor rgb="FFFFFFFF"/>
        <bgColor rgb="FFF0EAF8"/>
      </patternFill>
    </fill>
    <fill>
      <patternFill patternType="solid">
        <fgColor rgb="FF880000"/>
        <bgColor rgb="FF993300"/>
      </patternFill>
    </fill>
    <fill>
      <patternFill patternType="solid">
        <fgColor rgb="FFFF6600"/>
        <bgColor rgb="FFFF8800"/>
      </patternFill>
    </fill>
    <fill>
      <patternFill patternType="solid">
        <fgColor rgb="FFFFCC00"/>
        <bgColor rgb="FFFFE040"/>
      </patternFill>
    </fill>
    <fill>
      <patternFill patternType="solid">
        <fgColor rgb="FF00AA44"/>
        <bgColor rgb="FF008080"/>
      </patternFill>
    </fill>
    <fill>
      <patternFill patternType="solid">
        <fgColor rgb="FF3A003A"/>
        <bgColor rgb="FF3A0010"/>
      </patternFill>
    </fill>
    <fill>
      <patternFill patternType="solid">
        <fgColor rgb="FF3A1A00"/>
        <bgColor rgb="FF3A0010"/>
      </patternFill>
    </fill>
    <fill>
      <patternFill patternType="solid">
        <fgColor rgb="FF003A1A"/>
        <bgColor rgb="FF004D5A"/>
      </patternFill>
    </fill>
    <fill>
      <patternFill patternType="solid">
        <fgColor rgb="FF3A0010"/>
        <bgColor rgb="FF3A003A"/>
      </patternFill>
    </fill>
    <fill>
      <patternFill patternType="solid">
        <fgColor rgb="FFFF88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040"/>
      <rgbColor rgb="FFCC44FF"/>
      <rgbColor rgb="FF00FFE5"/>
      <rgbColor rgb="FF880000"/>
      <rgbColor rgb="FF008000"/>
      <rgbColor rgb="FF1A0A2E"/>
      <rgbColor rgb="FF808000"/>
      <rgbColor rgb="FF800080"/>
      <rgbColor rgb="FF008080"/>
      <rgbColor rgb="FFC0C0C0"/>
      <rgbColor rgb="FF808080"/>
      <rgbColor rgb="FF9999FF"/>
      <rgbColor rgb="FFFF2D78"/>
      <rgbColor rgb="FFF0EAF8"/>
      <rgbColor rgb="FFCCFFFF"/>
      <rgbColor rgb="FF3A003A"/>
      <rgbColor rgb="FFFF8080"/>
      <rgbColor rgb="FF0066CC"/>
      <rgbColor rgb="FFCCCCFF"/>
      <rgbColor rgb="FF0D0720"/>
      <rgbColor rgb="FFFF00FF"/>
      <rgbColor rgb="FFFFFF00"/>
      <rgbColor rgb="FF00FF88"/>
      <rgbColor rgb="FF800080"/>
      <rgbColor rgb="FF3A001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800"/>
      <rgbColor rgb="FFFF6600"/>
      <rgbColor rgb="FF666699"/>
      <rgbColor rgb="FFAAAAAA"/>
      <rgbColor rgb="FF004D5A"/>
      <rgbColor rgb="FF00AA44"/>
      <rgbColor rgb="FF003A1A"/>
      <rgbColor rgb="FF3A1A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15" hidden="false" customHeight="true" outlineLevel="0" collapsed="false">
      <c r="B5" s="3" t="s">
        <v>2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B6" s="3" t="s">
        <v>3</v>
      </c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true" outlineLevel="0" collapsed="false">
      <c r="B7" s="3" t="s">
        <v>4</v>
      </c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true" outlineLevel="0" collapsed="false">
      <c r="B8" s="3" t="s">
        <v>5</v>
      </c>
      <c r="C8" s="3"/>
      <c r="D8" s="3"/>
      <c r="E8" s="4" t="s">
        <v>6</v>
      </c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true" outlineLevel="0" collapsed="false">
      <c r="B9" s="3" t="s">
        <v>7</v>
      </c>
      <c r="C9" s="3"/>
      <c r="D9" s="3"/>
      <c r="E9" s="4" t="s">
        <v>8</v>
      </c>
      <c r="F9" s="4"/>
      <c r="G9" s="4"/>
      <c r="H9" s="4"/>
      <c r="I9" s="4"/>
      <c r="J9" s="4"/>
      <c r="K9" s="4"/>
      <c r="L9" s="4"/>
      <c r="M9" s="4"/>
      <c r="N9" s="4"/>
    </row>
  </sheetData>
  <mergeCells count="12">
    <mergeCell ref="A1:N1"/>
    <mergeCell ref="A2:N2"/>
    <mergeCell ref="B5:D5"/>
    <mergeCell ref="E5:N5"/>
    <mergeCell ref="B6:D6"/>
    <mergeCell ref="E6:N6"/>
    <mergeCell ref="B7:D7"/>
    <mergeCell ref="E7:N7"/>
    <mergeCell ref="B8:D8"/>
    <mergeCell ref="E8:N8"/>
    <mergeCell ref="B9:D9"/>
    <mergeCell ref="E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0"/>
    <col collapsed="false" customWidth="true" hidden="false" outlineLevel="0" max="2" min="2" style="5" width="28"/>
    <col collapsed="false" customWidth="true" hidden="false" outlineLevel="0" max="3" min="3" style="5" width="12"/>
    <col collapsed="false" customWidth="true" hidden="false" outlineLevel="0" max="4" min="4" style="5" width="18"/>
    <col collapsed="false" customWidth="true" hidden="false" outlineLevel="0" max="5" min="5" style="5" width="30"/>
    <col collapsed="false" customWidth="true" hidden="false" outlineLevel="0" max="7" min="6" style="5" width="18"/>
    <col collapsed="false" customWidth="true" hidden="false" outlineLevel="0" max="8" min="8" style="5" width="14"/>
    <col collapsed="false" customWidth="true" hidden="false" outlineLevel="0" max="9" min="9" style="5" width="12"/>
    <col collapsed="false" customWidth="true" hidden="false" outlineLevel="0" max="10" min="10" style="5" width="14"/>
    <col collapsed="false" customWidth="true" hidden="false" outlineLevel="0" max="11" min="11" style="5" width="13"/>
    <col collapsed="false" customWidth="true" hidden="false" outlineLevel="0" max="12" min="12" style="5" width="10"/>
    <col collapsed="false" customWidth="true" hidden="false" outlineLevel="0" max="13" min="13" style="5" width="12"/>
    <col collapsed="false" customWidth="true" hidden="false" outlineLevel="0" max="14" min="14" style="5" width="18"/>
    <col collapsed="false" customWidth="true" hidden="false" outlineLevel="0" max="15" min="15" style="5" width="25"/>
    <col collapsed="false" customWidth="true" hidden="false" outlineLevel="0" max="16" min="16" style="5" width="16"/>
    <col collapsed="false" customWidth="true" hidden="false" outlineLevel="0" max="19" min="17" style="5" width="14"/>
    <col collapsed="false" customWidth="true" hidden="false" outlineLevel="0" max="20" min="20" style="5" width="28"/>
    <col collapsed="false" customWidth="true" hidden="false" outlineLevel="0" max="23" min="21" style="0" width="14"/>
    <col collapsed="false" customWidth="true" hidden="false" outlineLevel="0" max="24" min="24" style="0" width="18"/>
    <col collapsed="false" customWidth="true" hidden="false" outlineLevel="0" max="25" min="25" style="0" width="14"/>
    <col collapsed="false" customWidth="true" hidden="false" outlineLevel="0" max="26" min="26" style="0" width="22"/>
  </cols>
  <sheetData>
    <row r="1" customFormat="false" ht="30" hidden="false" customHeight="true" outlineLevel="0" collapsed="false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customFormat="false" ht="21.75" hidden="false" customHeight="tru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4.5" hidden="false" customHeight="true" outlineLevel="0" collapsed="false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7" t="s">
        <v>25</v>
      </c>
      <c r="P3" s="7" t="s">
        <v>26</v>
      </c>
      <c r="Q3" s="7" t="s">
        <v>27</v>
      </c>
      <c r="R3" s="7" t="s">
        <v>28</v>
      </c>
      <c r="S3" s="7" t="s">
        <v>29</v>
      </c>
      <c r="T3" s="7" t="s">
        <v>30</v>
      </c>
      <c r="U3" s="8" t="s">
        <v>31</v>
      </c>
      <c r="V3" s="8" t="s">
        <v>32</v>
      </c>
      <c r="W3" s="8" t="s">
        <v>33</v>
      </c>
      <c r="X3" s="8" t="s">
        <v>34</v>
      </c>
      <c r="Y3" s="8" t="s">
        <v>35</v>
      </c>
      <c r="Z3" s="8" t="s">
        <v>36</v>
      </c>
    </row>
    <row r="4" customFormat="false" ht="37.5" hidden="false" customHeight="true" outlineLevel="0" collapsed="false">
      <c r="A4" s="9" t="s">
        <v>37</v>
      </c>
      <c r="B4" s="9" t="s">
        <v>38</v>
      </c>
      <c r="C4" s="10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 t="s">
        <v>45</v>
      </c>
      <c r="J4" s="9" t="s">
        <v>46</v>
      </c>
      <c r="K4" s="9" t="s">
        <v>47</v>
      </c>
      <c r="L4" s="11" t="n">
        <v>0.65</v>
      </c>
      <c r="M4" s="12" t="s">
        <v>48</v>
      </c>
      <c r="N4" s="9" t="s">
        <v>49</v>
      </c>
      <c r="O4" s="9" t="s">
        <v>50</v>
      </c>
      <c r="P4" s="9" t="s">
        <v>51</v>
      </c>
      <c r="Q4" s="9" t="s">
        <v>52</v>
      </c>
      <c r="R4" s="9" t="s">
        <v>53</v>
      </c>
      <c r="S4" s="9" t="s">
        <v>54</v>
      </c>
      <c r="T4" s="9" t="s">
        <v>55</v>
      </c>
      <c r="U4" s="9" t="s">
        <v>56</v>
      </c>
      <c r="V4" s="9" t="s">
        <v>57</v>
      </c>
      <c r="W4" s="9" t="s">
        <v>58</v>
      </c>
      <c r="X4" s="9" t="s">
        <v>59</v>
      </c>
      <c r="Y4" s="9" t="s">
        <v>60</v>
      </c>
      <c r="Z4" s="9" t="s">
        <v>61</v>
      </c>
    </row>
    <row r="5" customFormat="false" ht="37.5" hidden="false" customHeight="true" outlineLevel="0" collapsed="false">
      <c r="A5" s="13" t="s">
        <v>62</v>
      </c>
      <c r="B5" s="13" t="s">
        <v>63</v>
      </c>
      <c r="C5" s="10" t="s">
        <v>39</v>
      </c>
      <c r="D5" s="13" t="s">
        <v>40</v>
      </c>
      <c r="E5" s="13" t="s">
        <v>64</v>
      </c>
      <c r="F5" s="13" t="s">
        <v>65</v>
      </c>
      <c r="G5" s="13" t="s">
        <v>66</v>
      </c>
      <c r="H5" s="13" t="s">
        <v>67</v>
      </c>
      <c r="I5" s="13" t="s">
        <v>45</v>
      </c>
      <c r="J5" s="13" t="s">
        <v>68</v>
      </c>
      <c r="K5" s="13" t="s">
        <v>69</v>
      </c>
      <c r="L5" s="14" t="n">
        <v>0.4</v>
      </c>
      <c r="M5" s="12" t="s">
        <v>48</v>
      </c>
      <c r="N5" s="13" t="s">
        <v>49</v>
      </c>
      <c r="O5" s="13" t="s">
        <v>70</v>
      </c>
      <c r="P5" s="13" t="s">
        <v>71</v>
      </c>
      <c r="Q5" s="13" t="s">
        <v>72</v>
      </c>
      <c r="R5" s="13" t="s">
        <v>73</v>
      </c>
      <c r="S5" s="13" t="s">
        <v>74</v>
      </c>
      <c r="T5" s="13" t="s">
        <v>75</v>
      </c>
      <c r="U5" s="13" t="s">
        <v>76</v>
      </c>
      <c r="V5" s="13" t="s">
        <v>77</v>
      </c>
      <c r="W5" s="13" t="s">
        <v>78</v>
      </c>
      <c r="X5" s="13" t="s">
        <v>79</v>
      </c>
      <c r="Y5" s="13" t="s">
        <v>60</v>
      </c>
      <c r="Z5" s="13" t="s">
        <v>80</v>
      </c>
    </row>
    <row r="6" customFormat="false" ht="37.5" hidden="false" customHeight="true" outlineLevel="0" collapsed="false">
      <c r="A6" s="9" t="s">
        <v>81</v>
      </c>
      <c r="B6" s="9" t="s">
        <v>82</v>
      </c>
      <c r="C6" s="10" t="s">
        <v>39</v>
      </c>
      <c r="D6" s="9" t="s">
        <v>40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72</v>
      </c>
      <c r="K6" s="9" t="s">
        <v>88</v>
      </c>
      <c r="L6" s="11" t="n">
        <v>0.1</v>
      </c>
      <c r="M6" s="12" t="s">
        <v>48</v>
      </c>
      <c r="N6" s="9" t="s">
        <v>89</v>
      </c>
      <c r="O6" s="9" t="s">
        <v>90</v>
      </c>
      <c r="P6" s="9" t="s">
        <v>91</v>
      </c>
      <c r="Q6" s="9" t="s">
        <v>52</v>
      </c>
      <c r="R6" s="9" t="s">
        <v>92</v>
      </c>
      <c r="S6" s="9" t="s">
        <v>93</v>
      </c>
      <c r="T6" s="9" t="s">
        <v>94</v>
      </c>
      <c r="U6" s="9" t="s">
        <v>95</v>
      </c>
      <c r="V6" s="9" t="s">
        <v>96</v>
      </c>
      <c r="W6" s="9" t="s">
        <v>60</v>
      </c>
      <c r="X6" s="9" t="s">
        <v>97</v>
      </c>
      <c r="Y6" s="9" t="s">
        <v>60</v>
      </c>
      <c r="Z6" s="9" t="s">
        <v>98</v>
      </c>
    </row>
    <row r="7" customFormat="false" ht="37.5" hidden="false" customHeight="true" outlineLevel="0" collapsed="false">
      <c r="A7" s="13" t="s">
        <v>99</v>
      </c>
      <c r="B7" s="13" t="s">
        <v>100</v>
      </c>
      <c r="C7" s="10" t="s">
        <v>39</v>
      </c>
      <c r="D7" s="13" t="s">
        <v>101</v>
      </c>
      <c r="E7" s="13" t="s">
        <v>102</v>
      </c>
      <c r="F7" s="13" t="s">
        <v>103</v>
      </c>
      <c r="G7" s="13" t="s">
        <v>104</v>
      </c>
      <c r="H7" s="13" t="s">
        <v>105</v>
      </c>
      <c r="I7" s="13" t="s">
        <v>87</v>
      </c>
      <c r="J7" s="13" t="s">
        <v>51</v>
      </c>
      <c r="K7" s="13" t="s">
        <v>106</v>
      </c>
      <c r="L7" s="14" t="n">
        <v>0.25</v>
      </c>
      <c r="M7" s="12" t="s">
        <v>48</v>
      </c>
      <c r="N7" s="13" t="s">
        <v>89</v>
      </c>
      <c r="O7" s="13" t="s">
        <v>107</v>
      </c>
      <c r="P7" s="13" t="s">
        <v>108</v>
      </c>
      <c r="Q7" s="13" t="s">
        <v>69</v>
      </c>
      <c r="R7" s="13" t="s">
        <v>109</v>
      </c>
      <c r="S7" s="13" t="s">
        <v>110</v>
      </c>
      <c r="T7" s="13" t="s">
        <v>111</v>
      </c>
      <c r="U7" s="13" t="s">
        <v>112</v>
      </c>
      <c r="V7" s="13" t="s">
        <v>60</v>
      </c>
      <c r="W7" s="13" t="s">
        <v>60</v>
      </c>
      <c r="X7" s="13" t="s">
        <v>113</v>
      </c>
      <c r="Y7" s="13" t="s">
        <v>60</v>
      </c>
      <c r="Z7" s="13" t="s">
        <v>114</v>
      </c>
    </row>
    <row r="8" customFormat="false" ht="37.5" hidden="false" customHeight="true" outlineLevel="0" collapsed="false">
      <c r="A8" s="9" t="s">
        <v>115</v>
      </c>
      <c r="B8" s="9" t="s">
        <v>116</v>
      </c>
      <c r="C8" s="15" t="s">
        <v>117</v>
      </c>
      <c r="D8" s="9" t="s">
        <v>40</v>
      </c>
      <c r="E8" s="9" t="s">
        <v>118</v>
      </c>
      <c r="F8" s="9" t="s">
        <v>119</v>
      </c>
      <c r="G8" s="9" t="s">
        <v>120</v>
      </c>
      <c r="H8" s="9" t="s">
        <v>67</v>
      </c>
      <c r="I8" s="9" t="s">
        <v>45</v>
      </c>
      <c r="J8" s="9" t="s">
        <v>121</v>
      </c>
      <c r="K8" s="9" t="s">
        <v>52</v>
      </c>
      <c r="L8" s="11" t="n">
        <v>0.55</v>
      </c>
      <c r="M8" s="12" t="s">
        <v>48</v>
      </c>
      <c r="N8" s="9" t="s">
        <v>49</v>
      </c>
      <c r="O8" s="9" t="s">
        <v>122</v>
      </c>
      <c r="P8" s="9" t="s">
        <v>123</v>
      </c>
      <c r="Q8" s="9" t="s">
        <v>124</v>
      </c>
      <c r="R8" s="9" t="s">
        <v>125</v>
      </c>
      <c r="S8" s="9" t="s">
        <v>53</v>
      </c>
      <c r="T8" s="9" t="s">
        <v>126</v>
      </c>
      <c r="U8" s="9" t="s">
        <v>127</v>
      </c>
      <c r="V8" s="9" t="s">
        <v>128</v>
      </c>
      <c r="W8" s="9" t="s">
        <v>129</v>
      </c>
      <c r="X8" s="9" t="s">
        <v>130</v>
      </c>
      <c r="Y8" s="9" t="s">
        <v>60</v>
      </c>
      <c r="Z8" s="9" t="s">
        <v>131</v>
      </c>
    </row>
    <row r="9" customFormat="false" ht="37.5" hidden="false" customHeight="true" outlineLevel="0" collapsed="false">
      <c r="A9" s="13" t="s">
        <v>132</v>
      </c>
      <c r="B9" s="13" t="s">
        <v>133</v>
      </c>
      <c r="C9" s="10" t="s">
        <v>39</v>
      </c>
      <c r="D9" s="13" t="s">
        <v>40</v>
      </c>
      <c r="E9" s="13" t="s">
        <v>134</v>
      </c>
      <c r="F9" s="13" t="s">
        <v>135</v>
      </c>
      <c r="G9" s="13" t="s">
        <v>136</v>
      </c>
      <c r="H9" s="13" t="s">
        <v>137</v>
      </c>
      <c r="I9" s="13" t="s">
        <v>87</v>
      </c>
      <c r="J9" s="13" t="s">
        <v>52</v>
      </c>
      <c r="K9" s="13" t="s">
        <v>138</v>
      </c>
      <c r="L9" s="14" t="n">
        <v>0</v>
      </c>
      <c r="M9" s="16" t="s">
        <v>139</v>
      </c>
      <c r="N9" s="13" t="s">
        <v>89</v>
      </c>
      <c r="O9" s="13" t="s">
        <v>140</v>
      </c>
      <c r="P9" s="13"/>
      <c r="Q9" s="13" t="s">
        <v>52</v>
      </c>
      <c r="R9" s="13" t="s">
        <v>141</v>
      </c>
      <c r="S9" s="13" t="s">
        <v>93</v>
      </c>
      <c r="T9" s="13" t="s">
        <v>142</v>
      </c>
      <c r="U9" s="13" t="s">
        <v>143</v>
      </c>
      <c r="V9" s="13" t="s">
        <v>144</v>
      </c>
      <c r="W9" s="13" t="s">
        <v>145</v>
      </c>
      <c r="X9" s="13" t="s">
        <v>146</v>
      </c>
      <c r="Y9" s="13" t="s">
        <v>60</v>
      </c>
      <c r="Z9" s="13" t="s">
        <v>147</v>
      </c>
    </row>
    <row r="10" customFormat="false" ht="37.5" hidden="false" customHeight="true" outlineLevel="0" collapsed="false">
      <c r="A10" s="9" t="s">
        <v>148</v>
      </c>
      <c r="B10" s="9" t="s">
        <v>149</v>
      </c>
      <c r="C10" s="16" t="s">
        <v>150</v>
      </c>
      <c r="D10" s="9" t="s">
        <v>40</v>
      </c>
      <c r="E10" s="9" t="s">
        <v>151</v>
      </c>
      <c r="F10" s="9" t="s">
        <v>152</v>
      </c>
      <c r="G10" s="9" t="s">
        <v>153</v>
      </c>
      <c r="H10" s="9" t="s">
        <v>154</v>
      </c>
      <c r="I10" s="9" t="s">
        <v>155</v>
      </c>
      <c r="J10" s="9" t="s">
        <v>68</v>
      </c>
      <c r="K10" s="9" t="s">
        <v>124</v>
      </c>
      <c r="L10" s="11" t="n">
        <v>0.7</v>
      </c>
      <c r="M10" s="12" t="s">
        <v>48</v>
      </c>
      <c r="N10" s="9" t="s">
        <v>49</v>
      </c>
      <c r="O10" s="9" t="s">
        <v>156</v>
      </c>
      <c r="P10" s="9" t="s">
        <v>51</v>
      </c>
      <c r="Q10" s="9" t="s">
        <v>124</v>
      </c>
      <c r="R10" s="9" t="s">
        <v>157</v>
      </c>
      <c r="S10" s="9" t="s">
        <v>158</v>
      </c>
      <c r="T10" s="9" t="s">
        <v>159</v>
      </c>
      <c r="U10" s="9" t="s">
        <v>160</v>
      </c>
      <c r="V10" s="9" t="s">
        <v>161</v>
      </c>
      <c r="W10" s="9" t="s">
        <v>162</v>
      </c>
      <c r="X10" s="9" t="s">
        <v>163</v>
      </c>
      <c r="Y10" s="9" t="s">
        <v>60</v>
      </c>
      <c r="Z10" s="9" t="s">
        <v>164</v>
      </c>
    </row>
    <row r="11" customFormat="false" ht="37.5" hidden="false" customHeight="true" outlineLevel="0" collapsed="false">
      <c r="A11" s="13" t="s">
        <v>165</v>
      </c>
      <c r="B11" s="13" t="s">
        <v>166</v>
      </c>
      <c r="C11" s="16" t="s">
        <v>150</v>
      </c>
      <c r="D11" s="13" t="s">
        <v>40</v>
      </c>
      <c r="E11" s="13" t="s">
        <v>167</v>
      </c>
      <c r="F11" s="13" t="s">
        <v>42</v>
      </c>
      <c r="G11" s="13" t="s">
        <v>43</v>
      </c>
      <c r="H11" s="13" t="s">
        <v>44</v>
      </c>
      <c r="I11" s="13" t="s">
        <v>87</v>
      </c>
      <c r="J11" s="13" t="s">
        <v>72</v>
      </c>
      <c r="K11" s="13" t="s">
        <v>69</v>
      </c>
      <c r="L11" s="14" t="n">
        <v>0</v>
      </c>
      <c r="M11" s="16" t="s">
        <v>139</v>
      </c>
      <c r="N11" s="13" t="s">
        <v>89</v>
      </c>
      <c r="O11" s="13" t="s">
        <v>168</v>
      </c>
      <c r="P11" s="13"/>
      <c r="Q11" s="13" t="s">
        <v>72</v>
      </c>
      <c r="R11" s="13" t="s">
        <v>109</v>
      </c>
      <c r="S11" s="13" t="s">
        <v>93</v>
      </c>
      <c r="T11" s="13" t="s">
        <v>169</v>
      </c>
      <c r="U11" s="13" t="s">
        <v>170</v>
      </c>
      <c r="V11" s="13" t="s">
        <v>60</v>
      </c>
      <c r="W11" s="13" t="s">
        <v>60</v>
      </c>
      <c r="X11" s="13" t="s">
        <v>171</v>
      </c>
      <c r="Y11" s="13" t="s">
        <v>60</v>
      </c>
      <c r="Z11" s="13" t="s">
        <v>172</v>
      </c>
    </row>
  </sheetData>
  <mergeCells count="2">
    <mergeCell ref="A1:T1"/>
    <mergeCell ref="A2:T2"/>
  </mergeCells>
  <dataValidations count="250">
    <dataValidation allowBlank="true" errorStyle="stop" operator="between" showDropDown="false" showErrorMessage="false" showInputMessage="false" sqref="C4" type="list">
      <formula1>"CRÍTICO,ALTO,MEDIO,BAJO"</formula1>
      <formula2>0</formula2>
    </dataValidation>
    <dataValidation allowBlank="true" errorStyle="stop" operator="between" showDropDown="false" showErrorMessage="false" showInputMessage="false" sqref="D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5" type="list">
      <formula1>"CRÍTICO,ALTO,MEDIO,BAJO"</formula1>
      <formula2>0</formula2>
    </dataValidation>
    <dataValidation allowBlank="true" errorStyle="stop" operator="between" showDropDown="false" showErrorMessage="false" showInputMessage="false" sqref="D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5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5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5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6" type="list">
      <formula1>"CRÍTICO,ALTO,MEDIO,BAJO"</formula1>
      <formula2>0</formula2>
    </dataValidation>
    <dataValidation allowBlank="true" errorStyle="stop" operator="between" showDropDown="false" showErrorMessage="false" showInputMessage="false" sqref="D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6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6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6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7" type="list">
      <formula1>"CRÍTICO,ALTO,MEDIO,BAJO"</formula1>
      <formula2>0</formula2>
    </dataValidation>
    <dataValidation allowBlank="true" errorStyle="stop" operator="between" showDropDown="false" showErrorMessage="false" showInputMessage="false" sqref="D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7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7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7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8" type="list">
      <formula1>"CRÍTICO,ALTO,MEDIO,BAJO"</formula1>
      <formula2>0</formula2>
    </dataValidation>
    <dataValidation allowBlank="true" errorStyle="stop" operator="between" showDropDown="false" showErrorMessage="false" showInputMessage="false" sqref="D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8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8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8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9" type="list">
      <formula1>"CRÍTICO,ALTO,MEDIO,BAJO"</formula1>
      <formula2>0</formula2>
    </dataValidation>
    <dataValidation allowBlank="true" errorStyle="stop" operator="between" showDropDown="false" showErrorMessage="false" showInputMessage="false" sqref="D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9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9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9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0" type="list">
      <formula1>"CRÍTICO,ALTO,MEDIO,BAJO"</formula1>
      <formula2>0</formula2>
    </dataValidation>
    <dataValidation allowBlank="true" errorStyle="stop" operator="between" showDropDown="false" showErrorMessage="false" showInputMessage="false" sqref="D1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0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0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0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1" type="list">
      <formula1>"CRÍTICO,ALTO,MEDIO,BAJO"</formula1>
      <formula2>0</formula2>
    </dataValidation>
    <dataValidation allowBlank="true" errorStyle="stop" operator="between" showDropDown="false" showErrorMessage="false" showInputMessage="false" sqref="D1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1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1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1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2" type="list">
      <formula1>"CRÍTICO,ALTO,MEDIO,BAJO"</formula1>
      <formula2>0</formula2>
    </dataValidation>
    <dataValidation allowBlank="true" errorStyle="stop" operator="between" showDropDown="false" showErrorMessage="false" showInputMessage="false" sqref="D1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2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2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2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3" type="list">
      <formula1>"CRÍTICO,ALTO,MEDIO,BAJO"</formula1>
      <formula2>0</formula2>
    </dataValidation>
    <dataValidation allowBlank="true" errorStyle="stop" operator="between" showDropDown="false" showErrorMessage="false" showInputMessage="false" sqref="D1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3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3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3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4" type="list">
      <formula1>"CRÍTICO,ALTO,MEDIO,BAJO"</formula1>
      <formula2>0</formula2>
    </dataValidation>
    <dataValidation allowBlank="true" errorStyle="stop" operator="between" showDropDown="false" showErrorMessage="false" showInputMessage="false" sqref="D1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4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4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4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5" type="list">
      <formula1>"CRÍTICO,ALTO,MEDIO,BAJO"</formula1>
      <formula2>0</formula2>
    </dataValidation>
    <dataValidation allowBlank="true" errorStyle="stop" operator="between" showDropDown="false" showErrorMessage="false" showInputMessage="false" sqref="D1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5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5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5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6" type="list">
      <formula1>"CRÍTICO,ALTO,MEDIO,BAJO"</formula1>
      <formula2>0</formula2>
    </dataValidation>
    <dataValidation allowBlank="true" errorStyle="stop" operator="between" showDropDown="false" showErrorMessage="false" showInputMessage="false" sqref="D1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6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6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6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7" type="list">
      <formula1>"CRÍTICO,ALTO,MEDIO,BAJO"</formula1>
      <formula2>0</formula2>
    </dataValidation>
    <dataValidation allowBlank="true" errorStyle="stop" operator="between" showDropDown="false" showErrorMessage="false" showInputMessage="false" sqref="D1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7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7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7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8" type="list">
      <formula1>"CRÍTICO,ALTO,MEDIO,BAJO"</formula1>
      <formula2>0</formula2>
    </dataValidation>
    <dataValidation allowBlank="true" errorStyle="stop" operator="between" showDropDown="false" showErrorMessage="false" showInputMessage="false" sqref="D1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8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8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8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19" type="list">
      <formula1>"CRÍTICO,ALTO,MEDIO,BAJO"</formula1>
      <formula2>0</formula2>
    </dataValidation>
    <dataValidation allowBlank="true" errorStyle="stop" operator="between" showDropDown="false" showErrorMessage="false" showInputMessage="false" sqref="D1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19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19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19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0" type="list">
      <formula1>"CRÍTICO,ALTO,MEDIO,BAJO"</formula1>
      <formula2>0</formula2>
    </dataValidation>
    <dataValidation allowBlank="true" errorStyle="stop" operator="between" showDropDown="false" showErrorMessage="false" showInputMessage="false" sqref="D2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0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0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0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1" type="list">
      <formula1>"CRÍTICO,ALTO,MEDIO,BAJO"</formula1>
      <formula2>0</formula2>
    </dataValidation>
    <dataValidation allowBlank="true" errorStyle="stop" operator="between" showDropDown="false" showErrorMessage="false" showInputMessage="false" sqref="D2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1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1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1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2" type="list">
      <formula1>"CRÍTICO,ALTO,MEDIO,BAJO"</formula1>
      <formula2>0</formula2>
    </dataValidation>
    <dataValidation allowBlank="true" errorStyle="stop" operator="between" showDropDown="false" showErrorMessage="false" showInputMessage="false" sqref="D2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2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2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2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3" type="list">
      <formula1>"CRÍTICO,ALTO,MEDIO,BAJO"</formula1>
      <formula2>0</formula2>
    </dataValidation>
    <dataValidation allowBlank="true" errorStyle="stop" operator="between" showDropDown="false" showErrorMessage="false" showInputMessage="false" sqref="D2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3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3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3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4" type="list">
      <formula1>"CRÍTICO,ALTO,MEDIO,BAJO"</formula1>
      <formula2>0</formula2>
    </dataValidation>
    <dataValidation allowBlank="true" errorStyle="stop" operator="between" showDropDown="false" showErrorMessage="false" showInputMessage="false" sqref="D2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4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4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4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5" type="list">
      <formula1>"CRÍTICO,ALTO,MEDIO,BAJO"</formula1>
      <formula2>0</formula2>
    </dataValidation>
    <dataValidation allowBlank="true" errorStyle="stop" operator="between" showDropDown="false" showErrorMessage="false" showInputMessage="false" sqref="D2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5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5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5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6" type="list">
      <formula1>"CRÍTICO,ALTO,MEDIO,BAJO"</formula1>
      <formula2>0</formula2>
    </dataValidation>
    <dataValidation allowBlank="true" errorStyle="stop" operator="between" showDropDown="false" showErrorMessage="false" showInputMessage="false" sqref="D2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6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6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6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7" type="list">
      <formula1>"CRÍTICO,ALTO,MEDIO,BAJO"</formula1>
      <formula2>0</formula2>
    </dataValidation>
    <dataValidation allowBlank="true" errorStyle="stop" operator="between" showDropDown="false" showErrorMessage="false" showInputMessage="false" sqref="D2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7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7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7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8" type="list">
      <formula1>"CRÍTICO,ALTO,MEDIO,BAJO"</formula1>
      <formula2>0</formula2>
    </dataValidation>
    <dataValidation allowBlank="true" errorStyle="stop" operator="between" showDropDown="false" showErrorMessage="false" showInputMessage="false" sqref="D2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8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8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8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29" type="list">
      <formula1>"CRÍTICO,ALTO,MEDIO,BAJO"</formula1>
      <formula2>0</formula2>
    </dataValidation>
    <dataValidation allowBlank="true" errorStyle="stop" operator="between" showDropDown="false" showErrorMessage="false" showInputMessage="false" sqref="D2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29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29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29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0" type="list">
      <formula1>"CRÍTICO,ALTO,MEDIO,BAJO"</formula1>
      <formula2>0</formula2>
    </dataValidation>
    <dataValidation allowBlank="true" errorStyle="stop" operator="between" showDropDown="false" showErrorMessage="false" showInputMessage="false" sqref="D3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0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0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0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1" type="list">
      <formula1>"CRÍTICO,ALTO,MEDIO,BAJO"</formula1>
      <formula2>0</formula2>
    </dataValidation>
    <dataValidation allowBlank="true" errorStyle="stop" operator="between" showDropDown="false" showErrorMessage="false" showInputMessage="false" sqref="D3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1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1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1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2" type="list">
      <formula1>"CRÍTICO,ALTO,MEDIO,BAJO"</formula1>
      <formula2>0</formula2>
    </dataValidation>
    <dataValidation allowBlank="true" errorStyle="stop" operator="between" showDropDown="false" showErrorMessage="false" showInputMessage="false" sqref="D3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2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2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2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3" type="list">
      <formula1>"CRÍTICO,ALTO,MEDIO,BAJO"</formula1>
      <formula2>0</formula2>
    </dataValidation>
    <dataValidation allowBlank="true" errorStyle="stop" operator="between" showDropDown="false" showErrorMessage="false" showInputMessage="false" sqref="D3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3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3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3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4" type="list">
      <formula1>"CRÍTICO,ALTO,MEDIO,BAJO"</formula1>
      <formula2>0</formula2>
    </dataValidation>
    <dataValidation allowBlank="true" errorStyle="stop" operator="between" showDropDown="false" showErrorMessage="false" showInputMessage="false" sqref="D3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4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4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4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5" type="list">
      <formula1>"CRÍTICO,ALTO,MEDIO,BAJO"</formula1>
      <formula2>0</formula2>
    </dataValidation>
    <dataValidation allowBlank="true" errorStyle="stop" operator="between" showDropDown="false" showErrorMessage="false" showInputMessage="false" sqref="D3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5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5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5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6" type="list">
      <formula1>"CRÍTICO,ALTO,MEDIO,BAJO"</formula1>
      <formula2>0</formula2>
    </dataValidation>
    <dataValidation allowBlank="true" errorStyle="stop" operator="between" showDropDown="false" showErrorMessage="false" showInputMessage="false" sqref="D3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6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6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6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7" type="list">
      <formula1>"CRÍTICO,ALTO,MEDIO,BAJO"</formula1>
      <formula2>0</formula2>
    </dataValidation>
    <dataValidation allowBlank="true" errorStyle="stop" operator="between" showDropDown="false" showErrorMessage="false" showInputMessage="false" sqref="D3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7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7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7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8" type="list">
      <formula1>"CRÍTICO,ALTO,MEDIO,BAJO"</formula1>
      <formula2>0</formula2>
    </dataValidation>
    <dataValidation allowBlank="true" errorStyle="stop" operator="between" showDropDown="false" showErrorMessage="false" showInputMessage="false" sqref="D3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8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8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8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39" type="list">
      <formula1>"CRÍTICO,ALTO,MEDIO,BAJO"</formula1>
      <formula2>0</formula2>
    </dataValidation>
    <dataValidation allowBlank="true" errorStyle="stop" operator="between" showDropDown="false" showErrorMessage="false" showInputMessage="false" sqref="D3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39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39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39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0" type="list">
      <formula1>"CRÍTICO,ALTO,MEDIO,BAJO"</formula1>
      <formula2>0</formula2>
    </dataValidation>
    <dataValidation allowBlank="true" errorStyle="stop" operator="between" showDropDown="false" showErrorMessage="false" showInputMessage="false" sqref="D4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0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0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0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1" type="list">
      <formula1>"CRÍTICO,ALTO,MEDIO,BAJO"</formula1>
      <formula2>0</formula2>
    </dataValidation>
    <dataValidation allowBlank="true" errorStyle="stop" operator="between" showDropDown="false" showErrorMessage="false" showInputMessage="false" sqref="D4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1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1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1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2" type="list">
      <formula1>"CRÍTICO,ALTO,MEDIO,BAJO"</formula1>
      <formula2>0</formula2>
    </dataValidation>
    <dataValidation allowBlank="true" errorStyle="stop" operator="between" showDropDown="false" showErrorMessage="false" showInputMessage="false" sqref="D4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2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2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2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3" type="list">
      <formula1>"CRÍTICO,ALTO,MEDIO,BAJO"</formula1>
      <formula2>0</formula2>
    </dataValidation>
    <dataValidation allowBlank="true" errorStyle="stop" operator="between" showDropDown="false" showErrorMessage="false" showInputMessage="false" sqref="D4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3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3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3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4" type="list">
      <formula1>"CRÍTICO,ALTO,MEDIO,BAJO"</formula1>
      <formula2>0</formula2>
    </dataValidation>
    <dataValidation allowBlank="true" errorStyle="stop" operator="between" showDropDown="false" showErrorMessage="false" showInputMessage="false" sqref="D4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4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4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4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5" type="list">
      <formula1>"CRÍTICO,ALTO,MEDIO,BAJO"</formula1>
      <formula2>0</formula2>
    </dataValidation>
    <dataValidation allowBlank="true" errorStyle="stop" operator="between" showDropDown="false" showErrorMessage="false" showInputMessage="false" sqref="D4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5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5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5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6" type="list">
      <formula1>"CRÍTICO,ALTO,MEDIO,BAJO"</formula1>
      <formula2>0</formula2>
    </dataValidation>
    <dataValidation allowBlank="true" errorStyle="stop" operator="between" showDropDown="false" showErrorMessage="false" showInputMessage="false" sqref="D4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6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6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6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7" type="list">
      <formula1>"CRÍTICO,ALTO,MEDIO,BAJO"</formula1>
      <formula2>0</formula2>
    </dataValidation>
    <dataValidation allowBlank="true" errorStyle="stop" operator="between" showDropDown="false" showErrorMessage="false" showInputMessage="false" sqref="D4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7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7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7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8" type="list">
      <formula1>"CRÍTICO,ALTO,MEDIO,BAJO"</formula1>
      <formula2>0</formula2>
    </dataValidation>
    <dataValidation allowBlank="true" errorStyle="stop" operator="between" showDropDown="false" showErrorMessage="false" showInputMessage="false" sqref="D4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8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8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8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49" type="list">
      <formula1>"CRÍTICO,ALTO,MEDIO,BAJO"</formula1>
      <formula2>0</formula2>
    </dataValidation>
    <dataValidation allowBlank="true" errorStyle="stop" operator="between" showDropDown="false" showErrorMessage="false" showInputMessage="false" sqref="D4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49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49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49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50" type="list">
      <formula1>"CRÍTICO,ALTO,MEDIO,BAJO"</formula1>
      <formula2>0</formula2>
    </dataValidation>
    <dataValidation allowBlank="true" errorStyle="stop" operator="between" showDropDown="false" showErrorMessage="false" showInputMessage="false" sqref="D5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50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50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50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51" type="list">
      <formula1>"CRÍTICO,ALTO,MEDIO,BAJO"</formula1>
      <formula2>0</formula2>
    </dataValidation>
    <dataValidation allowBlank="true" errorStyle="stop" operator="between" showDropDown="false" showErrorMessage="false" showInputMessage="false" sqref="D5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51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51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51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52" type="list">
      <formula1>"CRÍTICO,ALTO,MEDIO,BAJO"</formula1>
      <formula2>0</formula2>
    </dataValidation>
    <dataValidation allowBlank="true" errorStyle="stop" operator="between" showDropDown="false" showErrorMessage="false" showInputMessage="false" sqref="D5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52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52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52" type="list">
      <formula1>"Sí — Completa,Sí — Parcial,No — Pendiente"</formula1>
      <formula2>0</formula2>
    </dataValidation>
    <dataValidation allowBlank="true" errorStyle="stop" operator="between" showDropDown="false" showErrorMessage="false" showInputMessage="false" sqref="C53" type="list">
      <formula1>"CRÍTICO,ALTO,MEDIO,BAJO"</formula1>
      <formula2>0</formula2>
    </dataValidation>
    <dataValidation allowBlank="true" errorStyle="stop" operator="between" showDropDown="false" showErrorMessage="false" showInputMessage="false" sqref="D5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I53" type="list">
      <formula1>"P1 — Urgente,P2 — Alta,P3 — Normal,P4 — Baja"</formula1>
      <formula2>0</formula2>
    </dataValidation>
    <dataValidation allowBlank="true" errorStyle="stop" operator="between" showDropDown="false" showErrorMessage="false" showInputMessage="false" sqref="M53" type="list">
      <formula1>"Pendiente,En Progreso,Completado,Bloqueado,Cancelado,Vencido"</formula1>
      <formula2>0</formula2>
    </dataValidation>
    <dataValidation allowBlank="true" errorStyle="stop" operator="between" showDropDown="false" showErrorMessage="false" showInputMessage="false" sqref="N53" type="list">
      <formula1>"Sí — Completa,Sí — Parcial,No — 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8"/>
    <col collapsed="false" customWidth="true" hidden="false" outlineLevel="0" max="2" min="2" style="5" width="34"/>
    <col collapsed="false" customWidth="true" hidden="false" outlineLevel="0" max="3" min="3" style="5" width="14"/>
    <col collapsed="false" customWidth="true" hidden="false" outlineLevel="0" max="4" min="4" style="5" width="10"/>
    <col collapsed="false" customWidth="true" hidden="false" outlineLevel="0" max="6" min="5" style="5" width="14"/>
    <col collapsed="false" customWidth="true" hidden="false" outlineLevel="0" max="8" min="7" style="5" width="10"/>
  </cols>
  <sheetData>
    <row r="1" customFormat="false" ht="30" hidden="false" customHeight="true" outlineLevel="0" collapsed="false">
      <c r="A1" s="6" t="s">
        <v>173</v>
      </c>
      <c r="B1" s="6"/>
      <c r="C1" s="6"/>
      <c r="D1" s="6"/>
      <c r="E1" s="6"/>
      <c r="F1" s="6"/>
      <c r="G1" s="6"/>
      <c r="H1" s="6"/>
    </row>
    <row r="2" customFormat="false" ht="21.75" hidden="false" customHeight="true" outlineLevel="0" collapsed="false">
      <c r="A2" s="2" t="s">
        <v>174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7" t="s">
        <v>175</v>
      </c>
      <c r="B4" s="7" t="s">
        <v>176</v>
      </c>
      <c r="C4" s="7" t="s">
        <v>177</v>
      </c>
      <c r="D4" s="7" t="s">
        <v>178</v>
      </c>
      <c r="E4" s="7" t="s">
        <v>23</v>
      </c>
      <c r="F4" s="7" t="s">
        <v>179</v>
      </c>
    </row>
    <row r="5" customFormat="false" ht="27.75" hidden="false" customHeight="true" outlineLevel="0" collapsed="false">
      <c r="A5" s="13" t="s">
        <v>180</v>
      </c>
      <c r="B5" s="13" t="s">
        <v>181</v>
      </c>
      <c r="C5" s="13" t="n">
        <f aca="false">COUNTIF(1_Seguimiento!C4:C53,"CRÍTICO")/MAX(1,COUNTIF(1_Seguimiento!C4:C53,"CRÍTICO"))</f>
        <v>1</v>
      </c>
      <c r="D5" s="13" t="s">
        <v>182</v>
      </c>
      <c r="E5" s="13"/>
      <c r="F5" s="13"/>
    </row>
    <row r="6" customFormat="false" ht="27.75" hidden="false" customHeight="true" outlineLevel="0" collapsed="false">
      <c r="A6" s="9" t="s">
        <v>183</v>
      </c>
      <c r="B6" s="9" t="s">
        <v>184</v>
      </c>
      <c r="C6" s="9" t="n">
        <f aca="false">COUNTIF(1_Seguimiento!M4:M53,"Completado")/MAX(1,COUNTA(1_Seguimiento!A4:A53))</f>
        <v>0</v>
      </c>
      <c r="D6" s="9" t="s">
        <v>185</v>
      </c>
      <c r="E6" s="9"/>
      <c r="F6" s="9"/>
    </row>
    <row r="7" customFormat="false" ht="27.75" hidden="false" customHeight="true" outlineLevel="0" collapsed="false">
      <c r="A7" s="13" t="s">
        <v>186</v>
      </c>
      <c r="B7" s="13" t="s">
        <v>187</v>
      </c>
      <c r="C7" s="13" t="n">
        <f aca="false">COUNTIF(1_Seguimiento!M4:M53,"Vencido")/MAX(1,COUNTA(1_Seguimiento!A4:A53))</f>
        <v>0</v>
      </c>
      <c r="D7" s="13" t="s">
        <v>188</v>
      </c>
      <c r="E7" s="13"/>
      <c r="F7" s="13"/>
    </row>
    <row r="8" customFormat="false" ht="27.75" hidden="false" customHeight="true" outlineLevel="0" collapsed="false">
      <c r="A8" s="9" t="s">
        <v>189</v>
      </c>
      <c r="B8" s="9" t="s">
        <v>190</v>
      </c>
      <c r="C8" s="17" t="n">
        <f aca="false">AVERAGE(1_Seguimiento!L4:L53)</f>
        <v>0.33125</v>
      </c>
      <c r="D8" s="9" t="s">
        <v>191</v>
      </c>
      <c r="E8" s="9"/>
      <c r="F8" s="9"/>
    </row>
    <row r="9" customFormat="false" ht="27.75" hidden="false" customHeight="true" outlineLevel="0" collapsed="false">
      <c r="A9" s="13" t="s">
        <v>192</v>
      </c>
      <c r="B9" s="13" t="s">
        <v>193</v>
      </c>
      <c r="C9" s="13" t="n">
        <f aca="false">COUNTIF(1_Seguimiento!N4:N53,"No — Pendiente")</f>
        <v>4</v>
      </c>
      <c r="D9" s="13" t="s">
        <v>194</v>
      </c>
      <c r="E9" s="13"/>
      <c r="F9" s="13"/>
    </row>
    <row r="10" customFormat="false" ht="27.75" hidden="false" customHeight="true" outlineLevel="0" collapsed="false">
      <c r="A10" s="9" t="s">
        <v>195</v>
      </c>
      <c r="B10" s="9" t="s">
        <v>196</v>
      </c>
      <c r="C10" s="9" t="s">
        <v>197</v>
      </c>
      <c r="D10" s="9" t="s">
        <v>198</v>
      </c>
      <c r="E10" s="9"/>
      <c r="F10" s="9"/>
    </row>
    <row r="11" customFormat="false" ht="27.75" hidden="false" customHeight="true" outlineLevel="0" collapsed="false">
      <c r="A11" s="13" t="s">
        <v>199</v>
      </c>
      <c r="B11" s="13" t="s">
        <v>200</v>
      </c>
      <c r="C11" s="13" t="s">
        <v>201</v>
      </c>
      <c r="D11" s="13" t="s">
        <v>202</v>
      </c>
      <c r="E11" s="13"/>
      <c r="F11" s="13"/>
    </row>
    <row r="12" customFormat="false" ht="27.75" hidden="false" customHeight="true" outlineLevel="0" collapsed="false">
      <c r="A12" s="9" t="s">
        <v>203</v>
      </c>
      <c r="B12" s="9" t="s">
        <v>204</v>
      </c>
      <c r="C12" s="9" t="n">
        <f aca="false">COUNTA(1_Seguimiento!F4:F53)/MAX(1,COUNTA(1_Seguimiento!A4:A53))</f>
        <v>1</v>
      </c>
      <c r="D12" s="9" t="s">
        <v>182</v>
      </c>
      <c r="E12" s="9"/>
      <c r="F12" s="9"/>
    </row>
    <row r="15" customFormat="false" ht="15" hidden="false" customHeight="true" outlineLevel="0" collapsed="false">
      <c r="A15" s="2" t="s">
        <v>205</v>
      </c>
      <c r="B15" s="2"/>
      <c r="C15" s="2"/>
      <c r="D15" s="2"/>
      <c r="E15" s="2"/>
      <c r="F15" s="2"/>
      <c r="G15" s="2"/>
      <c r="H15" s="2"/>
    </row>
    <row r="16" customFormat="false" ht="18" hidden="false" customHeight="true" outlineLevel="0" collapsed="false">
      <c r="A16" s="18" t="s">
        <v>23</v>
      </c>
      <c r="B16" s="18" t="s">
        <v>206</v>
      </c>
      <c r="C16" s="18" t="s">
        <v>207</v>
      </c>
      <c r="D16" s="18"/>
      <c r="E16" s="18"/>
      <c r="F16" s="18"/>
      <c r="G16" s="18"/>
      <c r="H16" s="18"/>
    </row>
    <row r="17" customFormat="false" ht="15" hidden="false" customHeight="true" outlineLevel="0" collapsed="false">
      <c r="A17" s="19" t="s">
        <v>208</v>
      </c>
      <c r="B17" s="20" t="n">
        <f aca="false">COUNTIF(1_Seguimiento!M4:M53,"Completado")</f>
        <v>0</v>
      </c>
      <c r="C17" s="21" t="n">
        <f aca="false">B17/MAX(1,COUNTA(1_Seguimiento!A4:A53))</f>
        <v>0</v>
      </c>
    </row>
    <row r="18" customFormat="false" ht="15" hidden="false" customHeight="true" outlineLevel="0" collapsed="false">
      <c r="A18" s="22" t="s">
        <v>48</v>
      </c>
      <c r="B18" s="23" t="n">
        <f aca="false">COUNTIF(1_Seguimiento!M4:M53,"En Progreso")</f>
        <v>6</v>
      </c>
      <c r="C18" s="24" t="n">
        <f aca="false">B18/MAX(1,COUNTA(1_Seguimiento!A4:A53))</f>
        <v>0.75</v>
      </c>
    </row>
    <row r="19" customFormat="false" ht="15" hidden="false" customHeight="true" outlineLevel="0" collapsed="false">
      <c r="A19" s="19" t="s">
        <v>139</v>
      </c>
      <c r="B19" s="20" t="n">
        <f aca="false">COUNTIF(1_Seguimiento!M4:M53,"Pendiente")</f>
        <v>2</v>
      </c>
      <c r="C19" s="21" t="n">
        <f aca="false">B19/MAX(1,COUNTA(1_Seguimiento!A4:A53))</f>
        <v>0.25</v>
      </c>
    </row>
    <row r="20" customFormat="false" ht="15" hidden="false" customHeight="true" outlineLevel="0" collapsed="false">
      <c r="A20" s="22" t="s">
        <v>209</v>
      </c>
      <c r="B20" s="23" t="n">
        <f aca="false">COUNTIF(1_Seguimiento!M4:M53,"Bloqueado")</f>
        <v>0</v>
      </c>
      <c r="C20" s="24" t="n">
        <f aca="false">B20/MAX(1,COUNTA(1_Seguimiento!A4:A53))</f>
        <v>0</v>
      </c>
    </row>
    <row r="21" customFormat="false" ht="15" hidden="false" customHeight="true" outlineLevel="0" collapsed="false">
      <c r="A21" s="19" t="s">
        <v>210</v>
      </c>
      <c r="B21" s="20" t="n">
        <f aca="false">COUNTIF(1_Seguimiento!M4:M53,"Vencido")</f>
        <v>0</v>
      </c>
      <c r="C21" s="21" t="n">
        <f aca="false">B21/MAX(1,COUNTA(1_Seguimiento!A4:A53))</f>
        <v>0</v>
      </c>
    </row>
    <row r="23" customFormat="false" ht="19.5" hidden="false" customHeight="true" outlineLevel="0" collapsed="false">
      <c r="A23" s="25" t="s">
        <v>211</v>
      </c>
      <c r="B23" s="25"/>
      <c r="C23" s="25"/>
      <c r="D23" s="25"/>
      <c r="E23" s="25"/>
      <c r="F23" s="25"/>
    </row>
    <row r="24" customFormat="false" ht="27.75" hidden="false" customHeight="true" outlineLevel="0" collapsed="false">
      <c r="A24" s="26" t="s">
        <v>175</v>
      </c>
      <c r="B24" s="26" t="s">
        <v>212</v>
      </c>
      <c r="C24" s="26" t="s">
        <v>213</v>
      </c>
      <c r="D24" s="26" t="s">
        <v>178</v>
      </c>
    </row>
    <row r="25" customFormat="false" ht="23.85" hidden="false" customHeight="false" outlineLevel="0" collapsed="false">
      <c r="A25" s="13" t="s">
        <v>214</v>
      </c>
      <c r="B25" s="13" t="s">
        <v>215</v>
      </c>
      <c r="C25" s="13" t="n">
        <f aca="false">COUNTA(1_Seguimiento!U4:U53)/MAX(1,COUNTA(1_Seguimiento!A4:A53))</f>
        <v>1</v>
      </c>
      <c r="D25" s="13" t="s">
        <v>182</v>
      </c>
    </row>
    <row r="26" customFormat="false" ht="23.85" hidden="false" customHeight="false" outlineLevel="0" collapsed="false">
      <c r="A26" s="9" t="s">
        <v>216</v>
      </c>
      <c r="B26" s="9" t="s">
        <v>217</v>
      </c>
      <c r="C26" s="9" t="n">
        <f aca="false">COUNTA(1_Seguimiento!X4:X53)/MAX(1,COUNTA(1_Seguimiento!A4:A53))</f>
        <v>1</v>
      </c>
      <c r="D26" s="9" t="s">
        <v>182</v>
      </c>
    </row>
    <row r="27" customFormat="false" ht="35.05" hidden="false" customHeight="false" outlineLevel="0" collapsed="false">
      <c r="A27" s="13" t="s">
        <v>218</v>
      </c>
      <c r="B27" s="13" t="s">
        <v>219</v>
      </c>
      <c r="C27" s="13" t="n">
        <f aca="false">COUNTIF(1_Seguimiento!V4:V53,"&lt;&gt;N/A")</f>
        <v>48</v>
      </c>
      <c r="D27" s="13" t="s">
        <v>220</v>
      </c>
    </row>
  </sheetData>
  <mergeCells count="4">
    <mergeCell ref="A1:H1"/>
    <mergeCell ref="A2:H2"/>
    <mergeCell ref="A15:H15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5" width="12"/>
    <col collapsed="false" customWidth="true" hidden="false" outlineLevel="0" max="3" min="3" style="5" width="22"/>
    <col collapsed="false" customWidth="true" hidden="false" outlineLevel="0" max="4" min="4" style="5" width="42"/>
    <col collapsed="false" customWidth="true" hidden="false" outlineLevel="0" max="6" min="5" style="5" width="20"/>
  </cols>
  <sheetData>
    <row r="1" customFormat="false" ht="30" hidden="false" customHeight="true" outlineLevel="0" collapsed="false">
      <c r="A1" s="6" t="s">
        <v>221</v>
      </c>
      <c r="B1" s="6"/>
      <c r="C1" s="6"/>
      <c r="D1" s="6"/>
      <c r="E1" s="6"/>
      <c r="F1" s="6"/>
      <c r="G1" s="6"/>
      <c r="H1" s="6"/>
    </row>
    <row r="3" customFormat="false" ht="18" hidden="false" customHeight="true" outlineLevel="0" collapsed="false">
      <c r="A3" s="7" t="s">
        <v>222</v>
      </c>
      <c r="B3" s="7" t="s">
        <v>11</v>
      </c>
      <c r="C3" s="7" t="s">
        <v>223</v>
      </c>
      <c r="D3" s="7" t="s">
        <v>224</v>
      </c>
      <c r="E3" s="7" t="s">
        <v>225</v>
      </c>
      <c r="F3" s="7" t="s">
        <v>226</v>
      </c>
    </row>
    <row r="4" customFormat="false" ht="15.75" hidden="false" customHeight="true" outlineLevel="0" collapsed="false">
      <c r="A4" s="9" t="s">
        <v>121</v>
      </c>
      <c r="B4" s="9" t="s">
        <v>115</v>
      </c>
      <c r="C4" s="9" t="s">
        <v>227</v>
      </c>
      <c r="D4" s="9" t="s">
        <v>228</v>
      </c>
      <c r="E4" s="9" t="s">
        <v>120</v>
      </c>
      <c r="F4" s="9" t="s">
        <v>229</v>
      </c>
    </row>
    <row r="5" customFormat="false" ht="15.75" hidden="false" customHeight="true" outlineLevel="0" collapsed="false">
      <c r="A5" s="13" t="s">
        <v>68</v>
      </c>
      <c r="B5" s="13" t="s">
        <v>62</v>
      </c>
      <c r="C5" s="13" t="s">
        <v>227</v>
      </c>
      <c r="D5" s="13" t="s">
        <v>230</v>
      </c>
      <c r="E5" s="13" t="s">
        <v>66</v>
      </c>
      <c r="F5" s="13" t="s">
        <v>229</v>
      </c>
    </row>
    <row r="6" customFormat="false" ht="15.75" hidden="false" customHeight="true" outlineLevel="0" collapsed="false">
      <c r="A6" s="9" t="s">
        <v>46</v>
      </c>
      <c r="B6" s="9" t="s">
        <v>37</v>
      </c>
      <c r="C6" s="9" t="s">
        <v>227</v>
      </c>
      <c r="D6" s="9" t="s">
        <v>231</v>
      </c>
      <c r="E6" s="9" t="s">
        <v>43</v>
      </c>
      <c r="F6" s="9" t="s">
        <v>229</v>
      </c>
    </row>
    <row r="7" customFormat="false" ht="15.75" hidden="false" customHeight="true" outlineLevel="0" collapsed="false">
      <c r="A7" s="13" t="s">
        <v>71</v>
      </c>
      <c r="B7" s="13" t="s">
        <v>115</v>
      </c>
      <c r="C7" s="13" t="s">
        <v>232</v>
      </c>
      <c r="D7" s="13" t="s">
        <v>233</v>
      </c>
      <c r="E7" s="13" t="s">
        <v>120</v>
      </c>
      <c r="F7" s="13" t="s">
        <v>229</v>
      </c>
    </row>
    <row r="8" customFormat="false" ht="15.75" hidden="false" customHeight="true" outlineLevel="0" collapsed="false">
      <c r="A8" s="9" t="s">
        <v>51</v>
      </c>
      <c r="B8" s="9" t="s">
        <v>148</v>
      </c>
      <c r="C8" s="9" t="s">
        <v>232</v>
      </c>
      <c r="D8" s="9" t="s">
        <v>234</v>
      </c>
      <c r="E8" s="9" t="s">
        <v>153</v>
      </c>
      <c r="F8" s="9" t="s">
        <v>229</v>
      </c>
    </row>
    <row r="9" customFormat="false" ht="15.75" hidden="false" customHeight="true" outlineLevel="0" collapsed="false">
      <c r="A9" s="13" t="s">
        <v>108</v>
      </c>
      <c r="B9" s="13" t="s">
        <v>99</v>
      </c>
      <c r="C9" s="13" t="s">
        <v>235</v>
      </c>
      <c r="D9" s="13" t="s">
        <v>236</v>
      </c>
      <c r="E9" s="13" t="s">
        <v>237</v>
      </c>
      <c r="F9" s="13" t="s">
        <v>238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27" t="s">
        <v>239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9.5" hidden="false" customHeight="true" outlineLevel="0" collapsed="false">
      <c r="A2" s="3" t="s">
        <v>240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9.5" hidden="false" customHeight="true" outlineLevel="0" collapsed="false">
      <c r="A4" s="25" t="s">
        <v>241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customFormat="false" ht="34.5" hidden="false" customHeight="true" outlineLevel="0" collapsed="false">
      <c r="A5" s="28" t="s">
        <v>242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customFormat="false" ht="27.75" hidden="false" customHeight="true" outlineLevel="0" collapsed="false">
      <c r="A6" s="26" t="s">
        <v>243</v>
      </c>
      <c r="B6" s="26" t="s">
        <v>244</v>
      </c>
      <c r="C6" s="26" t="s">
        <v>212</v>
      </c>
      <c r="D6" s="26" t="s">
        <v>245</v>
      </c>
      <c r="E6" s="26" t="s">
        <v>246</v>
      </c>
      <c r="F6" s="26" t="s">
        <v>247</v>
      </c>
    </row>
    <row r="7" customFormat="false" ht="35.05" hidden="false" customHeight="false" outlineLevel="0" collapsed="false">
      <c r="A7" s="15" t="n">
        <v>9</v>
      </c>
      <c r="B7" s="29" t="s">
        <v>248</v>
      </c>
      <c r="C7" s="13" t="s">
        <v>249</v>
      </c>
      <c r="D7" s="13" t="s">
        <v>250</v>
      </c>
      <c r="E7" s="13" t="s">
        <v>251</v>
      </c>
      <c r="F7" s="13" t="s">
        <v>252</v>
      </c>
    </row>
    <row r="8" customFormat="false" ht="35.05" hidden="false" customHeight="false" outlineLevel="0" collapsed="false">
      <c r="A8" s="10" t="n">
        <v>7</v>
      </c>
      <c r="B8" s="30" t="s">
        <v>253</v>
      </c>
      <c r="C8" s="9" t="s">
        <v>254</v>
      </c>
      <c r="D8" s="9" t="s">
        <v>255</v>
      </c>
      <c r="E8" s="9" t="s">
        <v>256</v>
      </c>
      <c r="F8" s="9" t="s">
        <v>257</v>
      </c>
    </row>
    <row r="9" customFormat="false" ht="23.85" hidden="false" customHeight="false" outlineLevel="0" collapsed="false">
      <c r="A9" s="16" t="n">
        <v>4</v>
      </c>
      <c r="B9" s="31" t="s">
        <v>258</v>
      </c>
      <c r="C9" s="13" t="s">
        <v>259</v>
      </c>
      <c r="D9" s="13" t="s">
        <v>260</v>
      </c>
      <c r="E9" s="13" t="s">
        <v>261</v>
      </c>
      <c r="F9" s="13" t="s">
        <v>262</v>
      </c>
    </row>
    <row r="10" customFormat="false" ht="35.05" hidden="false" customHeight="false" outlineLevel="0" collapsed="false">
      <c r="A10" s="32" t="n">
        <v>0.1</v>
      </c>
      <c r="B10" s="33" t="s">
        <v>263</v>
      </c>
      <c r="C10" s="9" t="s">
        <v>264</v>
      </c>
      <c r="D10" s="9" t="s">
        <v>265</v>
      </c>
      <c r="E10" s="9" t="s">
        <v>266</v>
      </c>
      <c r="F10" s="9" t="s">
        <v>267</v>
      </c>
    </row>
    <row r="11" customFormat="false" ht="23.85" hidden="false" customHeight="false" outlineLevel="0" collapsed="false">
      <c r="A11" s="34" t="n">
        <v>0</v>
      </c>
      <c r="B11" s="35" t="s">
        <v>268</v>
      </c>
      <c r="C11" s="13" t="s">
        <v>269</v>
      </c>
      <c r="D11" s="13" t="s">
        <v>270</v>
      </c>
      <c r="E11" s="13" t="s">
        <v>271</v>
      </c>
      <c r="F11" s="13" t="s">
        <v>272</v>
      </c>
    </row>
    <row r="13" customFormat="false" ht="15" hidden="false" customHeight="true" outlineLevel="0" collapsed="false">
      <c r="A13" s="36" t="s">
        <v>273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5" customFormat="false" ht="19.5" hidden="false" customHeight="true" outlineLevel="0" collapsed="false">
      <c r="A15" s="37" t="s">
        <v>274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30" hidden="false" customHeight="true" outlineLevel="0" collapsed="false">
      <c r="A16" s="28" t="s">
        <v>275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customFormat="false" ht="27.75" hidden="false" customHeight="true" outlineLevel="0" collapsed="false">
      <c r="A17" s="38" t="s">
        <v>276</v>
      </c>
      <c r="B17" s="38" t="s">
        <v>277</v>
      </c>
      <c r="C17" s="38" t="s">
        <v>212</v>
      </c>
      <c r="D17" s="38" t="s">
        <v>278</v>
      </c>
      <c r="E17" s="38" t="s">
        <v>16</v>
      </c>
      <c r="F17" s="38" t="s">
        <v>34</v>
      </c>
    </row>
    <row r="18" customFormat="false" ht="23.85" hidden="false" customHeight="false" outlineLevel="0" collapsed="false">
      <c r="A18" s="39" t="s">
        <v>279</v>
      </c>
      <c r="B18" s="9" t="s">
        <v>280</v>
      </c>
      <c r="C18" s="9" t="s">
        <v>281</v>
      </c>
      <c r="D18" s="9" t="s">
        <v>282</v>
      </c>
      <c r="E18" s="9" t="s">
        <v>135</v>
      </c>
      <c r="F18" s="9" t="s">
        <v>283</v>
      </c>
    </row>
    <row r="19" customFormat="false" ht="23.85" hidden="false" customHeight="false" outlineLevel="0" collapsed="false">
      <c r="A19" s="39" t="s">
        <v>284</v>
      </c>
      <c r="B19" s="13" t="s">
        <v>285</v>
      </c>
      <c r="C19" s="13" t="s">
        <v>286</v>
      </c>
      <c r="D19" s="13" t="s">
        <v>282</v>
      </c>
      <c r="E19" s="13" t="s">
        <v>135</v>
      </c>
      <c r="F19" s="13" t="s">
        <v>283</v>
      </c>
    </row>
    <row r="20" customFormat="false" ht="23.85" hidden="false" customHeight="false" outlineLevel="0" collapsed="false">
      <c r="A20" s="39" t="s">
        <v>161</v>
      </c>
      <c r="B20" s="9" t="s">
        <v>287</v>
      </c>
      <c r="C20" s="9" t="s">
        <v>288</v>
      </c>
      <c r="D20" s="9" t="s">
        <v>282</v>
      </c>
      <c r="E20" s="9" t="s">
        <v>135</v>
      </c>
      <c r="F20" s="9" t="s">
        <v>283</v>
      </c>
    </row>
    <row r="21" customFormat="false" ht="23.85" hidden="false" customHeight="false" outlineLevel="0" collapsed="false">
      <c r="A21" s="39" t="s">
        <v>289</v>
      </c>
      <c r="B21" s="13" t="s">
        <v>290</v>
      </c>
      <c r="C21" s="13" t="s">
        <v>291</v>
      </c>
      <c r="D21" s="13" t="s">
        <v>292</v>
      </c>
      <c r="E21" s="13" t="s">
        <v>293</v>
      </c>
      <c r="F21" s="13" t="s">
        <v>294</v>
      </c>
    </row>
    <row r="22" customFormat="false" ht="23.85" hidden="false" customHeight="false" outlineLevel="0" collapsed="false">
      <c r="A22" s="39" t="s">
        <v>77</v>
      </c>
      <c r="B22" s="9" t="s">
        <v>295</v>
      </c>
      <c r="C22" s="9" t="s">
        <v>296</v>
      </c>
      <c r="D22" s="9" t="s">
        <v>297</v>
      </c>
      <c r="E22" s="9" t="s">
        <v>298</v>
      </c>
      <c r="F22" s="9" t="s">
        <v>299</v>
      </c>
    </row>
    <row r="23" customFormat="false" ht="35.05" hidden="false" customHeight="false" outlineLevel="0" collapsed="false">
      <c r="A23" s="39" t="s">
        <v>300</v>
      </c>
      <c r="B23" s="13" t="s">
        <v>301</v>
      </c>
      <c r="C23" s="13" t="s">
        <v>302</v>
      </c>
      <c r="D23" s="13" t="s">
        <v>297</v>
      </c>
      <c r="E23" s="13" t="s">
        <v>298</v>
      </c>
      <c r="F23" s="13" t="s">
        <v>303</v>
      </c>
    </row>
    <row r="24" customFormat="false" ht="23.85" hidden="false" customHeight="false" outlineLevel="0" collapsed="false">
      <c r="A24" s="39" t="s">
        <v>304</v>
      </c>
      <c r="B24" s="9" t="s">
        <v>305</v>
      </c>
      <c r="C24" s="9" t="s">
        <v>306</v>
      </c>
      <c r="D24" s="9" t="s">
        <v>297</v>
      </c>
      <c r="E24" s="9" t="s">
        <v>65</v>
      </c>
      <c r="F24" s="9" t="s">
        <v>307</v>
      </c>
    </row>
    <row r="25" customFormat="false" ht="23.85" hidden="false" customHeight="false" outlineLevel="0" collapsed="false">
      <c r="A25" s="39" t="s">
        <v>308</v>
      </c>
      <c r="B25" s="13" t="s">
        <v>309</v>
      </c>
      <c r="C25" s="13" t="s">
        <v>310</v>
      </c>
      <c r="D25" s="13" t="s">
        <v>311</v>
      </c>
      <c r="E25" s="13" t="s">
        <v>135</v>
      </c>
      <c r="F25" s="13" t="s">
        <v>283</v>
      </c>
    </row>
    <row r="26" customFormat="false" ht="35.05" hidden="false" customHeight="false" outlineLevel="0" collapsed="false">
      <c r="A26" s="39" t="s">
        <v>312</v>
      </c>
      <c r="B26" s="9" t="s">
        <v>313</v>
      </c>
      <c r="C26" s="9" t="s">
        <v>314</v>
      </c>
      <c r="D26" s="9" t="s">
        <v>315</v>
      </c>
      <c r="E26" s="9" t="s">
        <v>135</v>
      </c>
      <c r="F26" s="9" t="s">
        <v>316</v>
      </c>
    </row>
    <row r="27" customFormat="false" ht="23.85" hidden="false" customHeight="false" outlineLevel="0" collapsed="false">
      <c r="A27" s="39" t="s">
        <v>317</v>
      </c>
      <c r="B27" s="13" t="s">
        <v>318</v>
      </c>
      <c r="C27" s="13" t="s">
        <v>319</v>
      </c>
      <c r="D27" s="13" t="s">
        <v>315</v>
      </c>
      <c r="E27" s="13" t="s">
        <v>135</v>
      </c>
      <c r="F27" s="13" t="s">
        <v>283</v>
      </c>
    </row>
    <row r="28" customFormat="false" ht="35.05" hidden="false" customHeight="false" outlineLevel="0" collapsed="false">
      <c r="A28" s="39" t="s">
        <v>128</v>
      </c>
      <c r="B28" s="9" t="s">
        <v>320</v>
      </c>
      <c r="C28" s="9" t="s">
        <v>321</v>
      </c>
      <c r="D28" s="9" t="s">
        <v>322</v>
      </c>
      <c r="E28" s="9" t="s">
        <v>119</v>
      </c>
      <c r="F28" s="9" t="s">
        <v>323</v>
      </c>
    </row>
    <row r="29" customFormat="false" ht="23.85" hidden="false" customHeight="false" outlineLevel="0" collapsed="false">
      <c r="A29" s="39" t="s">
        <v>324</v>
      </c>
      <c r="B29" s="13" t="s">
        <v>325</v>
      </c>
      <c r="C29" s="13" t="s">
        <v>326</v>
      </c>
      <c r="D29" s="13" t="s">
        <v>327</v>
      </c>
      <c r="E29" s="13" t="s">
        <v>328</v>
      </c>
      <c r="F29" s="13" t="s">
        <v>329</v>
      </c>
    </row>
    <row r="31" customFormat="false" ht="19.5" hidden="false" customHeight="true" outlineLevel="0" collapsed="false">
      <c r="A31" s="40" t="s">
        <v>330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customFormat="false" ht="27.75" hidden="false" customHeight="true" outlineLevel="0" collapsed="false">
      <c r="A32" s="41" t="s">
        <v>331</v>
      </c>
      <c r="B32" s="41" t="s">
        <v>332</v>
      </c>
      <c r="C32" s="41" t="s">
        <v>212</v>
      </c>
      <c r="D32" s="41" t="s">
        <v>333</v>
      </c>
      <c r="E32" s="41" t="s">
        <v>16</v>
      </c>
      <c r="F32" s="41" t="s">
        <v>34</v>
      </c>
      <c r="G32" s="41" t="s">
        <v>334</v>
      </c>
    </row>
    <row r="33" customFormat="false" ht="23.85" hidden="false" customHeight="false" outlineLevel="0" collapsed="false">
      <c r="A33" s="42" t="s">
        <v>129</v>
      </c>
      <c r="B33" s="13" t="s">
        <v>335</v>
      </c>
      <c r="C33" s="13" t="s">
        <v>336</v>
      </c>
      <c r="D33" s="13" t="s">
        <v>337</v>
      </c>
      <c r="E33" s="13" t="s">
        <v>65</v>
      </c>
      <c r="F33" s="13" t="s">
        <v>338</v>
      </c>
      <c r="G33" s="13" t="s">
        <v>339</v>
      </c>
    </row>
    <row r="34" customFormat="false" ht="23.85" hidden="false" customHeight="false" outlineLevel="0" collapsed="false">
      <c r="A34" s="42" t="s">
        <v>340</v>
      </c>
      <c r="B34" s="9" t="s">
        <v>341</v>
      </c>
      <c r="C34" s="9" t="s">
        <v>342</v>
      </c>
      <c r="D34" s="9" t="s">
        <v>343</v>
      </c>
      <c r="E34" s="9" t="s">
        <v>344</v>
      </c>
      <c r="F34" s="9" t="s">
        <v>345</v>
      </c>
      <c r="G34" s="9" t="s">
        <v>346</v>
      </c>
    </row>
    <row r="35" customFormat="false" ht="23.85" hidden="false" customHeight="false" outlineLevel="0" collapsed="false">
      <c r="A35" s="42" t="s">
        <v>347</v>
      </c>
      <c r="B35" s="13" t="s">
        <v>348</v>
      </c>
      <c r="C35" s="13" t="s">
        <v>349</v>
      </c>
      <c r="D35" s="13" t="s">
        <v>350</v>
      </c>
      <c r="E35" s="13" t="s">
        <v>135</v>
      </c>
      <c r="F35" s="13" t="s">
        <v>351</v>
      </c>
      <c r="G35" s="13" t="s">
        <v>352</v>
      </c>
    </row>
    <row r="36" customFormat="false" ht="23.85" hidden="false" customHeight="false" outlineLevel="0" collapsed="false">
      <c r="A36" s="42" t="s">
        <v>353</v>
      </c>
      <c r="B36" s="9" t="s">
        <v>354</v>
      </c>
      <c r="C36" s="9" t="s">
        <v>355</v>
      </c>
      <c r="D36" s="9" t="s">
        <v>356</v>
      </c>
      <c r="E36" s="9" t="s">
        <v>357</v>
      </c>
      <c r="F36" s="9" t="s">
        <v>351</v>
      </c>
      <c r="G36" s="9" t="s">
        <v>358</v>
      </c>
    </row>
    <row r="37" customFormat="false" ht="23.85" hidden="false" customHeight="false" outlineLevel="0" collapsed="false">
      <c r="A37" s="42" t="s">
        <v>359</v>
      </c>
      <c r="B37" s="13" t="s">
        <v>360</v>
      </c>
      <c r="C37" s="13" t="s">
        <v>361</v>
      </c>
      <c r="D37" s="13" t="s">
        <v>362</v>
      </c>
      <c r="E37" s="13" t="s">
        <v>363</v>
      </c>
      <c r="F37" s="13" t="s">
        <v>364</v>
      </c>
      <c r="G37" s="13" t="s">
        <v>346</v>
      </c>
    </row>
    <row r="38" customFormat="false" ht="23.85" hidden="false" customHeight="false" outlineLevel="0" collapsed="false">
      <c r="A38" s="42" t="s">
        <v>58</v>
      </c>
      <c r="B38" s="9" t="s">
        <v>365</v>
      </c>
      <c r="C38" s="9" t="s">
        <v>366</v>
      </c>
      <c r="D38" s="9" t="s">
        <v>367</v>
      </c>
      <c r="E38" s="9" t="s">
        <v>368</v>
      </c>
      <c r="F38" s="9" t="s">
        <v>369</v>
      </c>
      <c r="G38" s="9" t="s">
        <v>339</v>
      </c>
    </row>
    <row r="39" customFormat="false" ht="23.85" hidden="false" customHeight="false" outlineLevel="0" collapsed="false">
      <c r="A39" s="42" t="s">
        <v>78</v>
      </c>
      <c r="B39" s="13" t="s">
        <v>370</v>
      </c>
      <c r="C39" s="13" t="s">
        <v>371</v>
      </c>
      <c r="D39" s="13" t="s">
        <v>372</v>
      </c>
      <c r="E39" s="13" t="s">
        <v>298</v>
      </c>
      <c r="F39" s="13" t="s">
        <v>299</v>
      </c>
      <c r="G39" s="13" t="s">
        <v>339</v>
      </c>
    </row>
    <row r="40" customFormat="false" ht="23.85" hidden="false" customHeight="false" outlineLevel="0" collapsed="false">
      <c r="A40" s="42" t="s">
        <v>373</v>
      </c>
      <c r="B40" s="9" t="s">
        <v>374</v>
      </c>
      <c r="C40" s="9" t="s">
        <v>375</v>
      </c>
      <c r="D40" s="9" t="s">
        <v>376</v>
      </c>
      <c r="E40" s="9" t="s">
        <v>135</v>
      </c>
      <c r="F40" s="9" t="s">
        <v>377</v>
      </c>
      <c r="G40" s="9" t="s">
        <v>339</v>
      </c>
    </row>
    <row r="41" customFormat="false" ht="23.85" hidden="false" customHeight="false" outlineLevel="0" collapsed="false">
      <c r="A41" s="42" t="s">
        <v>162</v>
      </c>
      <c r="B41" s="13" t="s">
        <v>378</v>
      </c>
      <c r="C41" s="13" t="s">
        <v>379</v>
      </c>
      <c r="D41" s="13" t="s">
        <v>380</v>
      </c>
      <c r="E41" s="13" t="s">
        <v>381</v>
      </c>
      <c r="F41" s="13" t="s">
        <v>382</v>
      </c>
      <c r="G41" s="13" t="s">
        <v>383</v>
      </c>
    </row>
    <row r="42" customFormat="false" ht="23.85" hidden="false" customHeight="false" outlineLevel="0" collapsed="false">
      <c r="A42" s="42" t="s">
        <v>384</v>
      </c>
      <c r="B42" s="9" t="s">
        <v>385</v>
      </c>
      <c r="C42" s="9" t="s">
        <v>386</v>
      </c>
      <c r="D42" s="9" t="s">
        <v>387</v>
      </c>
      <c r="E42" s="9" t="s">
        <v>388</v>
      </c>
      <c r="F42" s="9" t="s">
        <v>329</v>
      </c>
      <c r="G42" s="9" t="s">
        <v>339</v>
      </c>
    </row>
    <row r="44" customFormat="false" ht="19.5" hidden="false" customHeight="true" outlineLevel="0" collapsed="false">
      <c r="A44" s="43" t="s">
        <v>389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5" customFormat="false" ht="27.75" hidden="false" customHeight="true" outlineLevel="0" collapsed="false">
      <c r="A45" s="44" t="s">
        <v>390</v>
      </c>
      <c r="B45" s="44" t="s">
        <v>391</v>
      </c>
      <c r="C45" s="44" t="s">
        <v>212</v>
      </c>
      <c r="D45" s="44" t="s">
        <v>392</v>
      </c>
      <c r="E45" s="44" t="s">
        <v>393</v>
      </c>
      <c r="F45" s="44" t="s">
        <v>394</v>
      </c>
    </row>
    <row r="46" customFormat="false" ht="27.75" hidden="false" customHeight="true" outlineLevel="0" collapsed="false">
      <c r="A46" s="45" t="s">
        <v>395</v>
      </c>
      <c r="B46" s="9" t="s">
        <v>396</v>
      </c>
      <c r="C46" s="9" t="s">
        <v>397</v>
      </c>
      <c r="D46" s="9" t="s">
        <v>398</v>
      </c>
      <c r="E46" s="9" t="s">
        <v>399</v>
      </c>
      <c r="F46" s="9" t="s">
        <v>135</v>
      </c>
    </row>
    <row r="47" customFormat="false" ht="27.75" hidden="false" customHeight="true" outlineLevel="0" collapsed="false">
      <c r="A47" s="45" t="s">
        <v>400</v>
      </c>
      <c r="B47" s="13" t="s">
        <v>401</v>
      </c>
      <c r="C47" s="13" t="s">
        <v>402</v>
      </c>
      <c r="D47" s="13" t="s">
        <v>403</v>
      </c>
      <c r="E47" s="13" t="s">
        <v>404</v>
      </c>
      <c r="F47" s="13" t="s">
        <v>135</v>
      </c>
    </row>
    <row r="48" customFormat="false" ht="27.75" hidden="false" customHeight="true" outlineLevel="0" collapsed="false">
      <c r="A48" s="45" t="s">
        <v>405</v>
      </c>
      <c r="B48" s="9" t="s">
        <v>406</v>
      </c>
      <c r="C48" s="9" t="s">
        <v>407</v>
      </c>
      <c r="D48" s="9" t="s">
        <v>408</v>
      </c>
      <c r="E48" s="9" t="s">
        <v>409</v>
      </c>
      <c r="F48" s="9" t="s">
        <v>410</v>
      </c>
    </row>
    <row r="49" customFormat="false" ht="27.75" hidden="false" customHeight="true" outlineLevel="0" collapsed="false">
      <c r="A49" s="45" t="s">
        <v>411</v>
      </c>
      <c r="B49" s="13" t="s">
        <v>412</v>
      </c>
      <c r="C49" s="13" t="s">
        <v>413</v>
      </c>
      <c r="D49" s="13" t="s">
        <v>414</v>
      </c>
      <c r="E49" s="13" t="s">
        <v>415</v>
      </c>
      <c r="F49" s="13" t="s">
        <v>328</v>
      </c>
    </row>
    <row r="50" customFormat="false" ht="27.75" hidden="false" customHeight="true" outlineLevel="0" collapsed="false">
      <c r="A50" s="45" t="s">
        <v>416</v>
      </c>
      <c r="B50" s="9" t="s">
        <v>417</v>
      </c>
      <c r="C50" s="9" t="s">
        <v>418</v>
      </c>
      <c r="D50" s="9" t="s">
        <v>419</v>
      </c>
      <c r="E50" s="9" t="s">
        <v>420</v>
      </c>
      <c r="F50" s="9" t="s">
        <v>103</v>
      </c>
    </row>
    <row r="51" customFormat="false" ht="27.75" hidden="false" customHeight="true" outlineLevel="0" collapsed="false">
      <c r="A51" s="45" t="s">
        <v>421</v>
      </c>
      <c r="B51" s="13" t="s">
        <v>422</v>
      </c>
      <c r="C51" s="13" t="s">
        <v>423</v>
      </c>
      <c r="D51" s="13" t="s">
        <v>424</v>
      </c>
      <c r="E51" s="13" t="s">
        <v>425</v>
      </c>
      <c r="F51" s="13" t="s">
        <v>293</v>
      </c>
    </row>
    <row r="52" customFormat="false" ht="27.75" hidden="false" customHeight="true" outlineLevel="0" collapsed="false">
      <c r="A52" s="45" t="s">
        <v>426</v>
      </c>
      <c r="B52" s="9" t="s">
        <v>427</v>
      </c>
      <c r="C52" s="9" t="s">
        <v>428</v>
      </c>
      <c r="D52" s="9" t="s">
        <v>429</v>
      </c>
      <c r="E52" s="9" t="s">
        <v>430</v>
      </c>
      <c r="F52" s="9" t="s">
        <v>65</v>
      </c>
    </row>
    <row r="53" customFormat="false" ht="27.75" hidden="false" customHeight="true" outlineLevel="0" collapsed="false">
      <c r="A53" s="45" t="s">
        <v>431</v>
      </c>
      <c r="B53" s="13" t="s">
        <v>432</v>
      </c>
      <c r="C53" s="13" t="s">
        <v>433</v>
      </c>
      <c r="D53" s="13" t="s">
        <v>434</v>
      </c>
      <c r="E53" s="13" t="s">
        <v>435</v>
      </c>
      <c r="F53" s="13" t="s">
        <v>119</v>
      </c>
    </row>
    <row r="54" customFormat="false" ht="27.75" hidden="false" customHeight="true" outlineLevel="0" collapsed="false">
      <c r="A54" s="45" t="s">
        <v>436</v>
      </c>
      <c r="B54" s="9" t="s">
        <v>437</v>
      </c>
      <c r="C54" s="9" t="s">
        <v>438</v>
      </c>
      <c r="D54" s="9" t="s">
        <v>439</v>
      </c>
      <c r="E54" s="9" t="s">
        <v>440</v>
      </c>
      <c r="F54" s="9" t="s">
        <v>152</v>
      </c>
    </row>
    <row r="55" customFormat="false" ht="27.75" hidden="false" customHeight="true" outlineLevel="0" collapsed="false">
      <c r="A55" s="45" t="s">
        <v>441</v>
      </c>
      <c r="B55" s="13" t="s">
        <v>442</v>
      </c>
      <c r="C55" s="13" t="s">
        <v>443</v>
      </c>
      <c r="D55" s="13" t="s">
        <v>444</v>
      </c>
      <c r="E55" s="13" t="s">
        <v>445</v>
      </c>
      <c r="F55" s="13" t="s">
        <v>446</v>
      </c>
    </row>
    <row r="57" customFormat="false" ht="19.5" hidden="false" customHeight="true" outlineLevel="0" collapsed="false">
      <c r="A57" s="46" t="s">
        <v>447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customFormat="false" ht="27.75" hidden="false" customHeight="true" outlineLevel="0" collapsed="false">
      <c r="A58" s="47" t="s">
        <v>448</v>
      </c>
      <c r="B58" s="47" t="s">
        <v>449</v>
      </c>
      <c r="C58" s="47" t="s">
        <v>212</v>
      </c>
      <c r="D58" s="47" t="s">
        <v>450</v>
      </c>
      <c r="E58" s="47" t="s">
        <v>451</v>
      </c>
      <c r="F58" s="47" t="s">
        <v>452</v>
      </c>
      <c r="G58" s="47" t="s">
        <v>453</v>
      </c>
    </row>
    <row r="59" customFormat="false" ht="24" hidden="false" customHeight="true" outlineLevel="0" collapsed="false">
      <c r="A59" s="48" t="n">
        <v>1</v>
      </c>
      <c r="B59" s="13" t="s">
        <v>454</v>
      </c>
      <c r="C59" s="13" t="s">
        <v>455</v>
      </c>
      <c r="D59" s="35" t="s">
        <v>456</v>
      </c>
      <c r="E59" s="13" t="s">
        <v>457</v>
      </c>
      <c r="F59" s="49" t="s">
        <v>458</v>
      </c>
      <c r="G59" s="13" t="s">
        <v>459</v>
      </c>
    </row>
    <row r="60" customFormat="false" ht="24" hidden="false" customHeight="true" outlineLevel="0" collapsed="false">
      <c r="A60" s="48" t="n">
        <v>2</v>
      </c>
      <c r="B60" s="9" t="s">
        <v>460</v>
      </c>
      <c r="C60" s="9" t="s">
        <v>461</v>
      </c>
      <c r="D60" s="35" t="s">
        <v>456</v>
      </c>
      <c r="E60" s="9" t="s">
        <v>457</v>
      </c>
      <c r="F60" s="49" t="s">
        <v>458</v>
      </c>
      <c r="G60" s="9" t="s">
        <v>462</v>
      </c>
    </row>
    <row r="61" customFormat="false" ht="24" hidden="false" customHeight="true" outlineLevel="0" collapsed="false">
      <c r="A61" s="48" t="n">
        <v>3</v>
      </c>
      <c r="B61" s="13" t="s">
        <v>463</v>
      </c>
      <c r="C61" s="13" t="s">
        <v>464</v>
      </c>
      <c r="D61" s="35" t="s">
        <v>456</v>
      </c>
      <c r="E61" s="13" t="s">
        <v>293</v>
      </c>
      <c r="F61" s="49" t="s">
        <v>458</v>
      </c>
      <c r="G61" s="13" t="s">
        <v>465</v>
      </c>
    </row>
    <row r="62" customFormat="false" ht="24" hidden="false" customHeight="true" outlineLevel="0" collapsed="false">
      <c r="A62" s="48" t="n">
        <v>4</v>
      </c>
      <c r="B62" s="9" t="s">
        <v>466</v>
      </c>
      <c r="C62" s="9" t="s">
        <v>467</v>
      </c>
      <c r="D62" s="35" t="s">
        <v>456</v>
      </c>
      <c r="E62" s="9" t="s">
        <v>468</v>
      </c>
      <c r="F62" s="49" t="s">
        <v>458</v>
      </c>
      <c r="G62" s="9" t="s">
        <v>469</v>
      </c>
    </row>
    <row r="63" customFormat="false" ht="24" hidden="false" customHeight="true" outlineLevel="0" collapsed="false">
      <c r="A63" s="48" t="n">
        <v>5</v>
      </c>
      <c r="B63" s="13" t="s">
        <v>470</v>
      </c>
      <c r="C63" s="13" t="s">
        <v>471</v>
      </c>
      <c r="D63" s="35" t="s">
        <v>456</v>
      </c>
      <c r="E63" s="13" t="s">
        <v>65</v>
      </c>
      <c r="F63" s="49" t="s">
        <v>458</v>
      </c>
      <c r="G63" s="13" t="s">
        <v>472</v>
      </c>
    </row>
    <row r="64" customFormat="false" ht="24" hidden="false" customHeight="true" outlineLevel="0" collapsed="false">
      <c r="A64" s="48" t="n">
        <v>6</v>
      </c>
      <c r="B64" s="9" t="s">
        <v>473</v>
      </c>
      <c r="C64" s="9" t="s">
        <v>474</v>
      </c>
      <c r="D64" s="35" t="s">
        <v>456</v>
      </c>
      <c r="E64" s="9" t="s">
        <v>119</v>
      </c>
      <c r="F64" s="49" t="s">
        <v>458</v>
      </c>
      <c r="G64" s="9" t="s">
        <v>475</v>
      </c>
    </row>
    <row r="65" customFormat="false" ht="24" hidden="false" customHeight="true" outlineLevel="0" collapsed="false">
      <c r="A65" s="48" t="n">
        <v>7</v>
      </c>
      <c r="B65" s="13" t="s">
        <v>476</v>
      </c>
      <c r="C65" s="13" t="s">
        <v>477</v>
      </c>
      <c r="D65" s="35" t="s">
        <v>456</v>
      </c>
      <c r="E65" s="13" t="s">
        <v>368</v>
      </c>
      <c r="F65" s="50" t="s">
        <v>478</v>
      </c>
      <c r="G65" s="13" t="s">
        <v>479</v>
      </c>
    </row>
    <row r="66" customFormat="false" ht="24" hidden="false" customHeight="true" outlineLevel="0" collapsed="false">
      <c r="A66" s="48" t="n">
        <v>8</v>
      </c>
      <c r="B66" s="9" t="s">
        <v>480</v>
      </c>
      <c r="C66" s="9" t="s">
        <v>481</v>
      </c>
      <c r="D66" s="35" t="s">
        <v>456</v>
      </c>
      <c r="E66" s="9" t="s">
        <v>381</v>
      </c>
      <c r="F66" s="50" t="s">
        <v>478</v>
      </c>
      <c r="G66" s="9" t="s">
        <v>482</v>
      </c>
    </row>
    <row r="67" customFormat="false" ht="24" hidden="false" customHeight="true" outlineLevel="0" collapsed="false">
      <c r="A67" s="48" t="n">
        <v>9</v>
      </c>
      <c r="B67" s="13" t="s">
        <v>483</v>
      </c>
      <c r="C67" s="13" t="s">
        <v>484</v>
      </c>
      <c r="D67" s="35" t="s">
        <v>456</v>
      </c>
      <c r="E67" s="13" t="s">
        <v>388</v>
      </c>
      <c r="F67" s="49" t="s">
        <v>458</v>
      </c>
      <c r="G67" s="13" t="s">
        <v>485</v>
      </c>
    </row>
    <row r="68" customFormat="false" ht="24" hidden="false" customHeight="true" outlineLevel="0" collapsed="false">
      <c r="A68" s="48" t="n">
        <v>10</v>
      </c>
      <c r="B68" s="9" t="s">
        <v>486</v>
      </c>
      <c r="C68" s="9" t="s">
        <v>487</v>
      </c>
      <c r="D68" s="35" t="s">
        <v>456</v>
      </c>
      <c r="E68" s="9" t="s">
        <v>488</v>
      </c>
      <c r="F68" s="49" t="s">
        <v>458</v>
      </c>
      <c r="G68" s="9" t="s">
        <v>489</v>
      </c>
    </row>
    <row r="69" customFormat="false" ht="24" hidden="false" customHeight="true" outlineLevel="0" collapsed="false">
      <c r="A69" s="48" t="n">
        <v>11</v>
      </c>
      <c r="B69" s="13" t="s">
        <v>490</v>
      </c>
      <c r="C69" s="13" t="s">
        <v>491</v>
      </c>
      <c r="D69" s="35" t="s">
        <v>456</v>
      </c>
      <c r="E69" s="13" t="s">
        <v>42</v>
      </c>
      <c r="F69" s="51" t="s">
        <v>492</v>
      </c>
      <c r="G69" s="13" t="s">
        <v>493</v>
      </c>
    </row>
    <row r="70" customFormat="false" ht="24" hidden="false" customHeight="true" outlineLevel="0" collapsed="false">
      <c r="A70" s="48" t="n">
        <v>12</v>
      </c>
      <c r="B70" s="9" t="s">
        <v>494</v>
      </c>
      <c r="C70" s="9" t="s">
        <v>495</v>
      </c>
      <c r="D70" s="52" t="s">
        <v>496</v>
      </c>
      <c r="E70" s="9" t="s">
        <v>497</v>
      </c>
      <c r="F70" s="49" t="s">
        <v>458</v>
      </c>
      <c r="G70" s="9" t="s">
        <v>498</v>
      </c>
    </row>
    <row r="71" customFormat="false" ht="24" hidden="false" customHeight="true" outlineLevel="0" collapsed="false">
      <c r="A71" s="48" t="n">
        <v>13</v>
      </c>
      <c r="B71" s="13" t="s">
        <v>499</v>
      </c>
      <c r="C71" s="13" t="s">
        <v>500</v>
      </c>
      <c r="D71" s="52" t="s">
        <v>496</v>
      </c>
      <c r="E71" s="13" t="s">
        <v>501</v>
      </c>
      <c r="F71" s="50" t="s">
        <v>478</v>
      </c>
      <c r="G71" s="13" t="s">
        <v>502</v>
      </c>
    </row>
    <row r="72" customFormat="false" ht="24" hidden="false" customHeight="true" outlineLevel="0" collapsed="false">
      <c r="A72" s="48" t="n">
        <v>14</v>
      </c>
      <c r="B72" s="9" t="s">
        <v>503</v>
      </c>
      <c r="C72" s="9" t="s">
        <v>504</v>
      </c>
      <c r="D72" s="35" t="s">
        <v>456</v>
      </c>
      <c r="E72" s="9" t="s">
        <v>152</v>
      </c>
      <c r="F72" s="49" t="s">
        <v>458</v>
      </c>
      <c r="G72" s="9" t="s">
        <v>505</v>
      </c>
    </row>
    <row r="73" customFormat="false" ht="24" hidden="false" customHeight="true" outlineLevel="0" collapsed="false">
      <c r="A73" s="48" t="n">
        <v>15</v>
      </c>
      <c r="B73" s="13" t="s">
        <v>506</v>
      </c>
      <c r="C73" s="13" t="s">
        <v>507</v>
      </c>
      <c r="D73" s="52" t="s">
        <v>496</v>
      </c>
      <c r="E73" s="13" t="s">
        <v>103</v>
      </c>
      <c r="F73" s="49" t="s">
        <v>458</v>
      </c>
      <c r="G73" s="13" t="s">
        <v>508</v>
      </c>
    </row>
    <row r="74" customFormat="false" ht="24" hidden="false" customHeight="true" outlineLevel="0" collapsed="false">
      <c r="A74" s="48" t="n">
        <v>16</v>
      </c>
      <c r="B74" s="9" t="s">
        <v>509</v>
      </c>
      <c r="C74" s="9" t="s">
        <v>510</v>
      </c>
      <c r="D74" s="52" t="s">
        <v>496</v>
      </c>
      <c r="E74" s="9" t="s">
        <v>357</v>
      </c>
      <c r="F74" s="49" t="s">
        <v>458</v>
      </c>
      <c r="G74" s="9" t="s">
        <v>511</v>
      </c>
    </row>
    <row r="75" customFormat="false" ht="24" hidden="false" customHeight="true" outlineLevel="0" collapsed="false">
      <c r="A75" s="48" t="n">
        <v>17</v>
      </c>
      <c r="B75" s="13" t="s">
        <v>512</v>
      </c>
      <c r="C75" s="13" t="s">
        <v>513</v>
      </c>
      <c r="D75" s="52" t="s">
        <v>496</v>
      </c>
      <c r="E75" s="13" t="s">
        <v>514</v>
      </c>
      <c r="F75" s="51" t="s">
        <v>492</v>
      </c>
      <c r="G75" s="13" t="s">
        <v>515</v>
      </c>
    </row>
    <row r="76" customFormat="false" ht="24" hidden="false" customHeight="true" outlineLevel="0" collapsed="false">
      <c r="A76" s="48" t="n">
        <v>18</v>
      </c>
      <c r="B76" s="9" t="s">
        <v>516</v>
      </c>
      <c r="C76" s="9" t="s">
        <v>517</v>
      </c>
      <c r="D76" s="52" t="s">
        <v>496</v>
      </c>
      <c r="E76" s="9" t="s">
        <v>135</v>
      </c>
      <c r="F76" s="50" t="s">
        <v>478</v>
      </c>
      <c r="G76" s="9" t="s">
        <v>518</v>
      </c>
    </row>
    <row r="78" customFormat="false" ht="19.5" hidden="false" customHeight="true" outlineLevel="0" collapsed="false">
      <c r="A78" s="25" t="s">
        <v>519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customFormat="false" ht="27.75" hidden="false" customHeight="true" outlineLevel="0" collapsed="false">
      <c r="A79" s="26" t="s">
        <v>520</v>
      </c>
      <c r="B79" s="26" t="s">
        <v>521</v>
      </c>
      <c r="C79" s="26" t="s">
        <v>522</v>
      </c>
      <c r="D79" s="26" t="s">
        <v>523</v>
      </c>
      <c r="E79" s="26" t="s">
        <v>524</v>
      </c>
      <c r="F79" s="26" t="s">
        <v>525</v>
      </c>
      <c r="G79" s="26" t="s">
        <v>526</v>
      </c>
    </row>
    <row r="80" customFormat="false" ht="25.5" hidden="false" customHeight="true" outlineLevel="0" collapsed="false">
      <c r="A80" s="53" t="s">
        <v>527</v>
      </c>
      <c r="B80" s="9" t="s">
        <v>528</v>
      </c>
      <c r="C80" s="9" t="s">
        <v>529</v>
      </c>
      <c r="D80" s="9" t="s">
        <v>530</v>
      </c>
      <c r="E80" s="9" t="s">
        <v>531</v>
      </c>
      <c r="F80" s="9" t="s">
        <v>532</v>
      </c>
      <c r="G80" s="9" t="s">
        <v>533</v>
      </c>
    </row>
    <row r="81" customFormat="false" ht="25.5" hidden="false" customHeight="true" outlineLevel="0" collapsed="false">
      <c r="A81" s="53" t="s">
        <v>527</v>
      </c>
      <c r="B81" s="13" t="s">
        <v>534</v>
      </c>
      <c r="C81" s="13" t="s">
        <v>535</v>
      </c>
      <c r="D81" s="13" t="s">
        <v>536</v>
      </c>
      <c r="E81" s="13" t="s">
        <v>531</v>
      </c>
      <c r="F81" s="13" t="s">
        <v>537</v>
      </c>
      <c r="G81" s="13" t="s">
        <v>538</v>
      </c>
    </row>
    <row r="82" customFormat="false" ht="25.5" hidden="false" customHeight="true" outlineLevel="0" collapsed="false">
      <c r="A82" s="53" t="s">
        <v>527</v>
      </c>
      <c r="B82" s="9" t="s">
        <v>539</v>
      </c>
      <c r="C82" s="9" t="s">
        <v>540</v>
      </c>
      <c r="D82" s="9" t="s">
        <v>541</v>
      </c>
      <c r="E82" s="9" t="s">
        <v>152</v>
      </c>
      <c r="F82" s="9" t="s">
        <v>542</v>
      </c>
      <c r="G82" s="9" t="s">
        <v>543</v>
      </c>
    </row>
    <row r="83" customFormat="false" ht="25.5" hidden="false" customHeight="true" outlineLevel="0" collapsed="false">
      <c r="A83" s="26" t="s">
        <v>544</v>
      </c>
      <c r="B83" s="13" t="s">
        <v>545</v>
      </c>
      <c r="C83" s="13" t="s">
        <v>546</v>
      </c>
      <c r="D83" s="13" t="s">
        <v>547</v>
      </c>
      <c r="E83" s="13" t="s">
        <v>357</v>
      </c>
      <c r="F83" s="13" t="s">
        <v>548</v>
      </c>
      <c r="G83" s="13" t="s">
        <v>549</v>
      </c>
    </row>
    <row r="84" customFormat="false" ht="25.5" hidden="false" customHeight="true" outlineLevel="0" collapsed="false">
      <c r="A84" s="26" t="s">
        <v>544</v>
      </c>
      <c r="B84" s="9" t="s">
        <v>550</v>
      </c>
      <c r="C84" s="9" t="s">
        <v>551</v>
      </c>
      <c r="D84" s="9" t="s">
        <v>547</v>
      </c>
      <c r="E84" s="9" t="s">
        <v>552</v>
      </c>
      <c r="F84" s="9" t="s">
        <v>548</v>
      </c>
      <c r="G84" s="9" t="s">
        <v>553</v>
      </c>
    </row>
    <row r="85" customFormat="false" ht="25.5" hidden="false" customHeight="true" outlineLevel="0" collapsed="false">
      <c r="A85" s="26" t="s">
        <v>544</v>
      </c>
      <c r="B85" s="13" t="s">
        <v>554</v>
      </c>
      <c r="C85" s="13" t="s">
        <v>555</v>
      </c>
      <c r="D85" s="13" t="s">
        <v>556</v>
      </c>
      <c r="E85" s="13" t="s">
        <v>557</v>
      </c>
      <c r="F85" s="13" t="s">
        <v>558</v>
      </c>
      <c r="G85" s="13" t="s">
        <v>559</v>
      </c>
    </row>
    <row r="86" customFormat="false" ht="25.5" hidden="false" customHeight="true" outlineLevel="0" collapsed="false">
      <c r="A86" s="41" t="s">
        <v>560</v>
      </c>
      <c r="B86" s="9" t="s">
        <v>561</v>
      </c>
      <c r="C86" s="9" t="s">
        <v>562</v>
      </c>
      <c r="D86" s="9" t="s">
        <v>563</v>
      </c>
      <c r="E86" s="9" t="s">
        <v>564</v>
      </c>
      <c r="F86" s="9" t="s">
        <v>565</v>
      </c>
      <c r="G86" s="9" t="s">
        <v>566</v>
      </c>
    </row>
    <row r="87" customFormat="false" ht="25.5" hidden="false" customHeight="true" outlineLevel="0" collapsed="false">
      <c r="A87" s="41" t="s">
        <v>560</v>
      </c>
      <c r="B87" s="13" t="s">
        <v>567</v>
      </c>
      <c r="C87" s="13" t="s">
        <v>568</v>
      </c>
      <c r="D87" s="13" t="s">
        <v>569</v>
      </c>
      <c r="E87" s="13" t="s">
        <v>570</v>
      </c>
      <c r="F87" s="13" t="s">
        <v>571</v>
      </c>
      <c r="G87" s="13" t="s">
        <v>572</v>
      </c>
    </row>
    <row r="88" customFormat="false" ht="25.5" hidden="false" customHeight="true" outlineLevel="0" collapsed="false">
      <c r="A88" s="41" t="s">
        <v>560</v>
      </c>
      <c r="B88" s="9" t="s">
        <v>573</v>
      </c>
      <c r="C88" s="9" t="s">
        <v>574</v>
      </c>
      <c r="D88" s="9" t="s">
        <v>575</v>
      </c>
      <c r="E88" s="9" t="s">
        <v>576</v>
      </c>
      <c r="F88" s="9" t="s">
        <v>577</v>
      </c>
      <c r="G88" s="9" t="s">
        <v>578</v>
      </c>
    </row>
    <row r="89" customFormat="false" ht="25.5" hidden="false" customHeight="true" outlineLevel="0" collapsed="false">
      <c r="A89" s="44" t="s">
        <v>579</v>
      </c>
      <c r="B89" s="13" t="s">
        <v>580</v>
      </c>
      <c r="C89" s="13" t="s">
        <v>581</v>
      </c>
      <c r="D89" s="13" t="s">
        <v>582</v>
      </c>
      <c r="E89" s="13" t="s">
        <v>583</v>
      </c>
      <c r="F89" s="13" t="s">
        <v>548</v>
      </c>
      <c r="G89" s="13" t="s">
        <v>584</v>
      </c>
    </row>
    <row r="90" customFormat="false" ht="25.5" hidden="false" customHeight="true" outlineLevel="0" collapsed="false">
      <c r="A90" s="44" t="s">
        <v>579</v>
      </c>
      <c r="B90" s="9" t="s">
        <v>585</v>
      </c>
      <c r="C90" s="9" t="s">
        <v>586</v>
      </c>
      <c r="D90" s="9" t="s">
        <v>587</v>
      </c>
      <c r="E90" s="9" t="s">
        <v>588</v>
      </c>
      <c r="F90" s="9" t="s">
        <v>548</v>
      </c>
      <c r="G90" s="9" t="s">
        <v>589</v>
      </c>
    </row>
    <row r="91" customFormat="false" ht="25.5" hidden="false" customHeight="true" outlineLevel="0" collapsed="false">
      <c r="A91" s="44" t="s">
        <v>579</v>
      </c>
      <c r="B91" s="13" t="s">
        <v>590</v>
      </c>
      <c r="C91" s="13" t="s">
        <v>591</v>
      </c>
      <c r="D91" s="13" t="s">
        <v>592</v>
      </c>
      <c r="E91" s="13" t="s">
        <v>588</v>
      </c>
      <c r="F91" s="13" t="s">
        <v>537</v>
      </c>
      <c r="G91" s="13" t="s">
        <v>593</v>
      </c>
    </row>
    <row r="92" customFormat="false" ht="25.5" hidden="false" customHeight="true" outlineLevel="0" collapsed="false">
      <c r="A92" s="38" t="s">
        <v>594</v>
      </c>
      <c r="B92" s="9" t="s">
        <v>595</v>
      </c>
      <c r="C92" s="9" t="s">
        <v>596</v>
      </c>
      <c r="D92" s="9" t="s">
        <v>597</v>
      </c>
      <c r="E92" s="9" t="s">
        <v>598</v>
      </c>
      <c r="F92" s="9" t="s">
        <v>599</v>
      </c>
      <c r="G92" s="9" t="s">
        <v>600</v>
      </c>
    </row>
    <row r="93" customFormat="false" ht="25.5" hidden="false" customHeight="true" outlineLevel="0" collapsed="false">
      <c r="A93" s="38" t="s">
        <v>594</v>
      </c>
      <c r="B93" s="13" t="s">
        <v>601</v>
      </c>
      <c r="C93" s="13" t="s">
        <v>602</v>
      </c>
      <c r="D93" s="13" t="s">
        <v>603</v>
      </c>
      <c r="E93" s="13" t="s">
        <v>570</v>
      </c>
      <c r="F93" s="13" t="s">
        <v>571</v>
      </c>
      <c r="G93" s="13" t="s">
        <v>604</v>
      </c>
    </row>
    <row r="94" customFormat="false" ht="25.5" hidden="false" customHeight="true" outlineLevel="0" collapsed="false">
      <c r="A94" s="38" t="s">
        <v>594</v>
      </c>
      <c r="B94" s="9" t="s">
        <v>605</v>
      </c>
      <c r="C94" s="9" t="s">
        <v>606</v>
      </c>
      <c r="D94" s="9" t="s">
        <v>607</v>
      </c>
      <c r="E94" s="9" t="s">
        <v>576</v>
      </c>
      <c r="F94" s="9" t="s">
        <v>577</v>
      </c>
      <c r="G94" s="9" t="s">
        <v>608</v>
      </c>
    </row>
  </sheetData>
  <mergeCells count="11">
    <mergeCell ref="A1:N1"/>
    <mergeCell ref="A2:N2"/>
    <mergeCell ref="A4:N4"/>
    <mergeCell ref="A5:N5"/>
    <mergeCell ref="A13:N13"/>
    <mergeCell ref="A15:N15"/>
    <mergeCell ref="A16:N16"/>
    <mergeCell ref="A31:N31"/>
    <mergeCell ref="A44:N44"/>
    <mergeCell ref="A57:N57"/>
    <mergeCell ref="A78:N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2026-04-24T12:07:33Z</dcterms:created>
  <dc:creator>openpyxl</dc:creator>
  <dc:description/>
  <dc:language>en-US</dc:language>
  <cp:lastModifiedBy/>
  <dcterms:modified xsi:type="dcterms:W3CDTF">2026-04-24T12:26:25Z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